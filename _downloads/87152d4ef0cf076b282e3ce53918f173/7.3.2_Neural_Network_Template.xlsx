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June 15 2023\Purdue\Courses\ENGR 131\Course Curators\AI material development\"/>
    </mc:Choice>
  </mc:AlternateContent>
  <xr:revisionPtr revIDLastSave="0" documentId="13_ncr:1_{530BA0D5-A18C-4915-B907-1C7EE2E9916D}" xr6:coauthVersionLast="47" xr6:coauthVersionMax="47" xr10:uidLastSave="{00000000-0000-0000-0000-000000000000}"/>
  <bookViews>
    <workbookView xWindow="-120" yWindow="-120" windowWidth="29040" windowHeight="15720" activeTab="1" xr2:uid="{C8C20EDC-F244-4C9E-9D93-D718692E2AB1}"/>
  </bookViews>
  <sheets>
    <sheet name="Data" sheetId="1" r:id="rId1"/>
    <sheet name="Neural Network" sheetId="3" r:id="rId2"/>
    <sheet name="General Linear Mode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7" i="3" l="1"/>
  <c r="K356" i="3"/>
  <c r="K355" i="3"/>
  <c r="K354" i="3"/>
  <c r="K353" i="3"/>
  <c r="K352" i="3"/>
  <c r="K351" i="3"/>
  <c r="K350" i="3"/>
  <c r="K349" i="3"/>
  <c r="K348" i="3"/>
  <c r="K342" i="3"/>
  <c r="K341" i="3"/>
  <c r="K340" i="3"/>
  <c r="K339" i="3"/>
  <c r="K338" i="3"/>
  <c r="K337" i="3"/>
  <c r="K336" i="3"/>
  <c r="K335" i="3"/>
  <c r="K334" i="3"/>
  <c r="K333" i="3"/>
  <c r="K327" i="3"/>
  <c r="K326" i="3"/>
  <c r="K325" i="3"/>
  <c r="K324" i="3"/>
  <c r="K323" i="3"/>
  <c r="K322" i="3"/>
  <c r="K321" i="3"/>
  <c r="K320" i="3"/>
  <c r="K319" i="3"/>
  <c r="K318" i="3"/>
  <c r="K312" i="3"/>
  <c r="K311" i="3"/>
  <c r="K310" i="3"/>
  <c r="K309" i="3"/>
  <c r="K308" i="3"/>
  <c r="K307" i="3"/>
  <c r="K306" i="3"/>
  <c r="K305" i="3"/>
  <c r="K304" i="3"/>
  <c r="K303" i="3"/>
  <c r="K297" i="3"/>
  <c r="K296" i="3"/>
  <c r="K295" i="3"/>
  <c r="K294" i="3"/>
  <c r="K293" i="3"/>
  <c r="K292" i="3"/>
  <c r="K291" i="3"/>
  <c r="K290" i="3"/>
  <c r="K289" i="3"/>
  <c r="K288" i="3"/>
  <c r="K282" i="3"/>
  <c r="K281" i="3"/>
  <c r="K280" i="3"/>
  <c r="K279" i="3"/>
  <c r="K278" i="3"/>
  <c r="K277" i="3"/>
  <c r="K276" i="3"/>
  <c r="K275" i="3"/>
  <c r="K274" i="3"/>
  <c r="K273" i="3"/>
  <c r="K267" i="3"/>
  <c r="K266" i="3"/>
  <c r="K265" i="3"/>
  <c r="K264" i="3"/>
  <c r="K263" i="3"/>
  <c r="K262" i="3"/>
  <c r="K261" i="3"/>
  <c r="K260" i="3"/>
  <c r="K259" i="3"/>
  <c r="K258" i="3"/>
  <c r="K252" i="3"/>
  <c r="K251" i="3"/>
  <c r="K250" i="3"/>
  <c r="K249" i="3"/>
  <c r="K248" i="3"/>
  <c r="K247" i="3"/>
  <c r="K246" i="3"/>
  <c r="K245" i="3"/>
  <c r="K244" i="3"/>
  <c r="K243" i="3"/>
  <c r="K237" i="3"/>
  <c r="K236" i="3"/>
  <c r="K235" i="3"/>
  <c r="K234" i="3"/>
  <c r="K233" i="3"/>
  <c r="K232" i="3"/>
  <c r="K231" i="3"/>
  <c r="K230" i="3"/>
  <c r="K229" i="3"/>
  <c r="K228" i="3"/>
  <c r="K222" i="3"/>
  <c r="K221" i="3"/>
  <c r="K220" i="3"/>
  <c r="K219" i="3"/>
  <c r="K218" i="3"/>
  <c r="K217" i="3"/>
  <c r="K216" i="3"/>
  <c r="K215" i="3"/>
  <c r="K214" i="3"/>
  <c r="K213" i="3"/>
  <c r="K207" i="3"/>
  <c r="K206" i="3"/>
  <c r="K205" i="3"/>
  <c r="K204" i="3"/>
  <c r="K203" i="3"/>
  <c r="K202" i="3"/>
  <c r="K201" i="3"/>
  <c r="K200" i="3"/>
  <c r="K199" i="3"/>
  <c r="K198" i="3"/>
  <c r="K192" i="3"/>
  <c r="K191" i="3"/>
  <c r="K190" i="3"/>
  <c r="K189" i="3"/>
  <c r="K188" i="3"/>
  <c r="K187" i="3"/>
  <c r="K186" i="3"/>
  <c r="K185" i="3"/>
  <c r="K184" i="3"/>
  <c r="K183" i="3"/>
  <c r="K177" i="3"/>
  <c r="K176" i="3"/>
  <c r="K175" i="3"/>
  <c r="K174" i="3"/>
  <c r="K173" i="3"/>
  <c r="K172" i="3"/>
  <c r="K171" i="3"/>
  <c r="K170" i="3"/>
  <c r="K169" i="3"/>
  <c r="K168" i="3"/>
  <c r="K162" i="3"/>
  <c r="K161" i="3"/>
  <c r="K160" i="3"/>
  <c r="K159" i="3"/>
  <c r="K158" i="3"/>
  <c r="K157" i="3"/>
  <c r="K156" i="3"/>
  <c r="K155" i="3"/>
  <c r="K154" i="3"/>
  <c r="K153" i="3"/>
  <c r="K147" i="3"/>
  <c r="K146" i="3"/>
  <c r="K145" i="3"/>
  <c r="K144" i="3"/>
  <c r="K143" i="3"/>
  <c r="K142" i="3"/>
  <c r="K141" i="3"/>
  <c r="K140" i="3"/>
  <c r="K139" i="3"/>
  <c r="K138" i="3"/>
  <c r="K132" i="3"/>
  <c r="K131" i="3"/>
  <c r="K130" i="3"/>
  <c r="K129" i="3"/>
  <c r="K128" i="3"/>
  <c r="K127" i="3"/>
  <c r="K126" i="3"/>
  <c r="K125" i="3"/>
  <c r="K124" i="3"/>
  <c r="K123" i="3"/>
  <c r="K117" i="3"/>
  <c r="K116" i="3"/>
  <c r="K115" i="3"/>
  <c r="K114" i="3"/>
  <c r="K113" i="3"/>
  <c r="K112" i="3"/>
  <c r="K111" i="3"/>
  <c r="K110" i="3"/>
  <c r="K109" i="3"/>
  <c r="K108" i="3"/>
  <c r="K102" i="3"/>
  <c r="K101" i="3"/>
  <c r="K100" i="3"/>
  <c r="K99" i="3"/>
  <c r="K98" i="3"/>
  <c r="K97" i="3"/>
  <c r="K96" i="3"/>
  <c r="K95" i="3"/>
  <c r="K94" i="3"/>
  <c r="K93" i="3"/>
  <c r="K87" i="3"/>
  <c r="K86" i="3"/>
  <c r="K85" i="3"/>
  <c r="K84" i="3"/>
  <c r="K83" i="3"/>
  <c r="K82" i="3"/>
  <c r="K81" i="3"/>
  <c r="K80" i="3"/>
  <c r="K79" i="3"/>
  <c r="K78" i="3"/>
  <c r="K72" i="3"/>
  <c r="K71" i="3"/>
  <c r="K70" i="3"/>
  <c r="K69" i="3"/>
  <c r="K68" i="3"/>
  <c r="K67" i="3"/>
  <c r="K66" i="3"/>
  <c r="K65" i="3"/>
  <c r="K64" i="3"/>
  <c r="K63" i="3"/>
  <c r="K57" i="3"/>
  <c r="K56" i="3"/>
  <c r="K55" i="3"/>
  <c r="K54" i="3"/>
  <c r="K53" i="3"/>
  <c r="K52" i="3"/>
  <c r="K51" i="3"/>
  <c r="K50" i="3"/>
  <c r="K49" i="3"/>
  <c r="K48" i="3"/>
  <c r="K42" i="3"/>
  <c r="K41" i="3"/>
  <c r="K40" i="3"/>
  <c r="K39" i="3"/>
  <c r="K38" i="3"/>
  <c r="K37" i="3"/>
  <c r="K36" i="3"/>
  <c r="K35" i="3"/>
  <c r="K34" i="3"/>
  <c r="K33" i="3"/>
  <c r="E37" i="3" l="1"/>
  <c r="E42" i="3"/>
  <c r="E34" i="3"/>
  <c r="E35" i="3"/>
  <c r="E36" i="3"/>
  <c r="E38" i="3"/>
  <c r="E41" i="3"/>
  <c r="E33" i="3"/>
  <c r="E39" i="3"/>
  <c r="E40" i="3"/>
  <c r="I40" i="3" l="1"/>
  <c r="F40" i="3"/>
  <c r="G40" i="3"/>
  <c r="H40" i="3"/>
  <c r="I39" i="3"/>
  <c r="F39" i="3"/>
  <c r="H39" i="3"/>
  <c r="G39" i="3"/>
  <c r="G33" i="3"/>
  <c r="H33" i="3"/>
  <c r="I33" i="3"/>
  <c r="F33" i="3"/>
  <c r="I41" i="3"/>
  <c r="F41" i="3"/>
  <c r="G41" i="3"/>
  <c r="H41" i="3"/>
  <c r="I38" i="3"/>
  <c r="G38" i="3"/>
  <c r="H38" i="3"/>
  <c r="F38" i="3"/>
  <c r="I36" i="3"/>
  <c r="F36" i="3"/>
  <c r="G36" i="3"/>
  <c r="H36" i="3"/>
  <c r="I35" i="3"/>
  <c r="F35" i="3"/>
  <c r="G35" i="3"/>
  <c r="H35" i="3"/>
  <c r="H34" i="3"/>
  <c r="G34" i="3"/>
  <c r="I34" i="3"/>
  <c r="F34" i="3"/>
  <c r="I42" i="3"/>
  <c r="F42" i="3"/>
  <c r="G42" i="3"/>
  <c r="H42" i="3"/>
  <c r="I37" i="3"/>
  <c r="G37" i="3"/>
  <c r="H37" i="3"/>
  <c r="F37" i="3"/>
  <c r="M37" i="3" l="1"/>
  <c r="L37" i="3"/>
  <c r="M38" i="3"/>
  <c r="L38" i="3"/>
  <c r="L42" i="3"/>
  <c r="M42" i="3"/>
  <c r="M41" i="3"/>
  <c r="L41" i="3"/>
  <c r="M33" i="3"/>
  <c r="L33" i="3"/>
  <c r="M34" i="3"/>
  <c r="L34" i="3"/>
  <c r="G43" i="3"/>
  <c r="L35" i="3"/>
  <c r="M35" i="3"/>
  <c r="M39" i="3"/>
  <c r="L39" i="3"/>
  <c r="M36" i="3"/>
  <c r="L36" i="3"/>
  <c r="M40" i="3"/>
  <c r="L40" i="3"/>
  <c r="M43" i="3" l="1"/>
  <c r="B48" i="3" s="1"/>
  <c r="L43" i="3"/>
  <c r="A48" i="3" s="1"/>
  <c r="E49" i="3" s="1"/>
  <c r="E50" i="3" l="1"/>
  <c r="E52" i="3"/>
  <c r="E51" i="3"/>
  <c r="E53" i="3"/>
  <c r="E54" i="3"/>
  <c r="E55" i="3"/>
  <c r="E56" i="3"/>
  <c r="E57" i="3"/>
  <c r="E48" i="3"/>
  <c r="F48" i="3" s="1"/>
  <c r="I57" i="3" l="1"/>
  <c r="H57" i="3"/>
  <c r="F57" i="3"/>
  <c r="G57" i="3"/>
  <c r="G55" i="3"/>
  <c r="F55" i="3"/>
  <c r="I55" i="3"/>
  <c r="H55" i="3"/>
  <c r="I54" i="3"/>
  <c r="F54" i="3"/>
  <c r="G54" i="3"/>
  <c r="H54" i="3"/>
  <c r="I53" i="3"/>
  <c r="H53" i="3"/>
  <c r="G53" i="3"/>
  <c r="F53" i="3"/>
  <c r="G51" i="3"/>
  <c r="I51" i="3"/>
  <c r="F51" i="3"/>
  <c r="H51" i="3"/>
  <c r="H48" i="3"/>
  <c r="G48" i="3"/>
  <c r="I48" i="3"/>
  <c r="I49" i="3"/>
  <c r="H49" i="3"/>
  <c r="F49" i="3"/>
  <c r="G49" i="3"/>
  <c r="H56" i="3"/>
  <c r="I56" i="3"/>
  <c r="F56" i="3"/>
  <c r="G56" i="3"/>
  <c r="I52" i="3"/>
  <c r="G52" i="3"/>
  <c r="F52" i="3"/>
  <c r="H52" i="3"/>
  <c r="I50" i="3"/>
  <c r="F50" i="3"/>
  <c r="G50" i="3"/>
  <c r="H50" i="3"/>
  <c r="L49" i="3" l="1"/>
  <c r="L50" i="3"/>
  <c r="M50" i="3"/>
  <c r="M51" i="3"/>
  <c r="L51" i="3"/>
  <c r="M52" i="3"/>
  <c r="L52" i="3"/>
  <c r="M56" i="3"/>
  <c r="L56" i="3"/>
  <c r="M49" i="3"/>
  <c r="L55" i="3"/>
  <c r="M55" i="3"/>
  <c r="L53" i="3"/>
  <c r="M53" i="3"/>
  <c r="M54" i="3"/>
  <c r="L54" i="3"/>
  <c r="G58" i="3"/>
  <c r="L57" i="3"/>
  <c r="M57" i="3"/>
  <c r="M48" i="3"/>
  <c r="L48" i="3"/>
  <c r="M58" i="3" l="1"/>
  <c r="B63" i="3" s="1"/>
  <c r="L58" i="3"/>
  <c r="A63" i="3" s="1"/>
  <c r="E65" i="3" l="1"/>
  <c r="E64" i="3"/>
  <c r="E66" i="3"/>
  <c r="E67" i="3"/>
  <c r="E68" i="3"/>
  <c r="E69" i="3"/>
  <c r="E70" i="3"/>
  <c r="E71" i="3"/>
  <c r="E72" i="3"/>
  <c r="E63" i="3"/>
  <c r="H71" i="3" l="1"/>
  <c r="I71" i="3"/>
  <c r="F71" i="3"/>
  <c r="G71" i="3"/>
  <c r="I70" i="3"/>
  <c r="G70" i="3"/>
  <c r="F70" i="3"/>
  <c r="H70" i="3"/>
  <c r="F72" i="3"/>
  <c r="I72" i="3"/>
  <c r="G72" i="3"/>
  <c r="H72" i="3"/>
  <c r="H69" i="3"/>
  <c r="F69" i="3"/>
  <c r="I69" i="3"/>
  <c r="G69" i="3"/>
  <c r="H68" i="3"/>
  <c r="I68" i="3"/>
  <c r="F68" i="3"/>
  <c r="G68" i="3"/>
  <c r="I65" i="3"/>
  <c r="G65" i="3"/>
  <c r="F65" i="3"/>
  <c r="H65" i="3"/>
  <c r="F67" i="3"/>
  <c r="H67" i="3"/>
  <c r="G67" i="3"/>
  <c r="I67" i="3"/>
  <c r="G63" i="3"/>
  <c r="F63" i="3"/>
  <c r="H63" i="3"/>
  <c r="I63" i="3"/>
  <c r="H66" i="3"/>
  <c r="F66" i="3"/>
  <c r="I66" i="3"/>
  <c r="G66" i="3"/>
  <c r="F64" i="3"/>
  <c r="G64" i="3"/>
  <c r="H64" i="3"/>
  <c r="I64" i="3"/>
  <c r="M71" i="3" l="1"/>
  <c r="G73" i="3"/>
  <c r="M64" i="3"/>
  <c r="L64" i="3"/>
  <c r="M68" i="3"/>
  <c r="L68" i="3"/>
  <c r="L72" i="3"/>
  <c r="M72" i="3"/>
  <c r="M63" i="3"/>
  <c r="L63" i="3"/>
  <c r="M67" i="3"/>
  <c r="L67" i="3"/>
  <c r="M66" i="3"/>
  <c r="L66" i="3"/>
  <c r="M70" i="3"/>
  <c r="L70" i="3"/>
  <c r="L65" i="3"/>
  <c r="M65" i="3"/>
  <c r="L69" i="3"/>
  <c r="M69" i="3"/>
  <c r="L71" i="3"/>
  <c r="M73" i="3" l="1"/>
  <c r="B78" i="3" s="1"/>
  <c r="L73" i="3"/>
  <c r="A78" i="3" s="1"/>
  <c r="E83" i="3" l="1"/>
  <c r="E78" i="3"/>
  <c r="E86" i="3"/>
  <c r="E87" i="3"/>
  <c r="E79" i="3"/>
  <c r="E80" i="3"/>
  <c r="E81" i="3"/>
  <c r="E82" i="3"/>
  <c r="E84" i="3"/>
  <c r="E85" i="3"/>
  <c r="F84" i="3" l="1"/>
  <c r="H84" i="3"/>
  <c r="I84" i="3"/>
  <c r="G84" i="3"/>
  <c r="I83" i="3"/>
  <c r="H83" i="3"/>
  <c r="F83" i="3"/>
  <c r="G83" i="3"/>
  <c r="I87" i="3"/>
  <c r="G87" i="3"/>
  <c r="H87" i="3"/>
  <c r="F87" i="3"/>
  <c r="I85" i="3"/>
  <c r="F85" i="3"/>
  <c r="G85" i="3"/>
  <c r="H85" i="3"/>
  <c r="F82" i="3"/>
  <c r="I82" i="3"/>
  <c r="G82" i="3"/>
  <c r="H82" i="3"/>
  <c r="I81" i="3"/>
  <c r="G81" i="3"/>
  <c r="F81" i="3"/>
  <c r="H81" i="3"/>
  <c r="I78" i="3"/>
  <c r="F78" i="3"/>
  <c r="G78" i="3"/>
  <c r="H78" i="3"/>
  <c r="I80" i="3"/>
  <c r="G80" i="3"/>
  <c r="H80" i="3"/>
  <c r="F80" i="3"/>
  <c r="I79" i="3"/>
  <c r="F79" i="3"/>
  <c r="G79" i="3"/>
  <c r="H79" i="3"/>
  <c r="F86" i="3"/>
  <c r="H86" i="3"/>
  <c r="G86" i="3"/>
  <c r="I86" i="3"/>
  <c r="M82" i="3" l="1"/>
  <c r="L82" i="3"/>
  <c r="M87" i="3"/>
  <c r="L87" i="3"/>
  <c r="L80" i="3"/>
  <c r="M80" i="3"/>
  <c r="G88" i="3"/>
  <c r="L81" i="3"/>
  <c r="M81" i="3"/>
  <c r="M86" i="3"/>
  <c r="L86" i="3"/>
  <c r="L85" i="3"/>
  <c r="M85" i="3"/>
  <c r="M79" i="3"/>
  <c r="L79" i="3"/>
  <c r="M78" i="3"/>
  <c r="L78" i="3"/>
  <c r="M84" i="3"/>
  <c r="L84" i="3"/>
  <c r="M83" i="3"/>
  <c r="L83" i="3"/>
  <c r="L88" i="3" l="1"/>
  <c r="A93" i="3" s="1"/>
  <c r="M88" i="3"/>
  <c r="B93" i="3" s="1"/>
  <c r="E100" i="3" l="1"/>
  <c r="E101" i="3"/>
  <c r="E102" i="3"/>
  <c r="E93" i="3"/>
  <c r="E94" i="3"/>
  <c r="E95" i="3"/>
  <c r="E96" i="3"/>
  <c r="E97" i="3"/>
  <c r="E98" i="3"/>
  <c r="E99" i="3"/>
  <c r="I99" i="3" l="1"/>
  <c r="F99" i="3"/>
  <c r="G99" i="3"/>
  <c r="H99" i="3"/>
  <c r="H95" i="3"/>
  <c r="F95" i="3"/>
  <c r="G95" i="3"/>
  <c r="I95" i="3"/>
  <c r="I97" i="3"/>
  <c r="H97" i="3"/>
  <c r="G97" i="3"/>
  <c r="F97" i="3"/>
  <c r="I94" i="3"/>
  <c r="G94" i="3"/>
  <c r="H94" i="3"/>
  <c r="F94" i="3"/>
  <c r="I93" i="3"/>
  <c r="G93" i="3"/>
  <c r="F93" i="3"/>
  <c r="H93" i="3"/>
  <c r="I102" i="3"/>
  <c r="H102" i="3"/>
  <c r="G102" i="3"/>
  <c r="F102" i="3"/>
  <c r="I101" i="3"/>
  <c r="G101" i="3"/>
  <c r="F101" i="3"/>
  <c r="H101" i="3"/>
  <c r="G98" i="3"/>
  <c r="H98" i="3"/>
  <c r="F98" i="3"/>
  <c r="I98" i="3"/>
  <c r="I100" i="3"/>
  <c r="G100" i="3"/>
  <c r="F100" i="3"/>
  <c r="H100" i="3"/>
  <c r="I96" i="3"/>
  <c r="G96" i="3"/>
  <c r="H96" i="3"/>
  <c r="F96" i="3"/>
  <c r="G103" i="3" l="1"/>
  <c r="M93" i="3"/>
  <c r="L93" i="3"/>
  <c r="L100" i="3"/>
  <c r="M100" i="3"/>
  <c r="L96" i="3"/>
  <c r="M96" i="3"/>
  <c r="M98" i="3"/>
  <c r="L98" i="3"/>
  <c r="M95" i="3"/>
  <c r="L95" i="3"/>
  <c r="M99" i="3"/>
  <c r="L99" i="3"/>
  <c r="L101" i="3"/>
  <c r="M101" i="3"/>
  <c r="M94" i="3"/>
  <c r="L94" i="3"/>
  <c r="L97" i="3"/>
  <c r="M97" i="3"/>
  <c r="L102" i="3"/>
  <c r="M102" i="3"/>
  <c r="L103" i="3" l="1"/>
  <c r="A108" i="3" s="1"/>
  <c r="M103" i="3"/>
  <c r="B108" i="3" s="1"/>
  <c r="E115" i="3" l="1"/>
  <c r="E116" i="3"/>
  <c r="E109" i="3"/>
  <c r="E110" i="3"/>
  <c r="E111" i="3"/>
  <c r="E112" i="3"/>
  <c r="E113" i="3"/>
  <c r="E114" i="3"/>
  <c r="E117" i="3"/>
  <c r="E108" i="3"/>
  <c r="I112" i="3" l="1"/>
  <c r="H112" i="3"/>
  <c r="F112" i="3"/>
  <c r="G112" i="3"/>
  <c r="I111" i="3"/>
  <c r="F111" i="3"/>
  <c r="G111" i="3"/>
  <c r="H111" i="3"/>
  <c r="I110" i="3"/>
  <c r="F110" i="3"/>
  <c r="G110" i="3"/>
  <c r="H110" i="3"/>
  <c r="I109" i="3"/>
  <c r="F109" i="3"/>
  <c r="G109" i="3"/>
  <c r="H109" i="3"/>
  <c r="I108" i="3"/>
  <c r="G108" i="3"/>
  <c r="H108" i="3"/>
  <c r="F108" i="3"/>
  <c r="I114" i="3"/>
  <c r="F114" i="3"/>
  <c r="G114" i="3"/>
  <c r="H114" i="3"/>
  <c r="I116" i="3"/>
  <c r="H116" i="3"/>
  <c r="F116" i="3"/>
  <c r="G116" i="3"/>
  <c r="I117" i="3"/>
  <c r="G117" i="3"/>
  <c r="H117" i="3"/>
  <c r="F117" i="3"/>
  <c r="I113" i="3"/>
  <c r="G113" i="3"/>
  <c r="F113" i="3"/>
  <c r="H113" i="3"/>
  <c r="I115" i="3"/>
  <c r="G115" i="3"/>
  <c r="H115" i="3"/>
  <c r="F115" i="3"/>
  <c r="G118" i="3" l="1"/>
  <c r="M110" i="3"/>
  <c r="L110" i="3"/>
  <c r="M113" i="3"/>
  <c r="L113" i="3"/>
  <c r="M108" i="3"/>
  <c r="L108" i="3"/>
  <c r="M111" i="3"/>
  <c r="L111" i="3"/>
  <c r="M109" i="3"/>
  <c r="L109" i="3"/>
  <c r="L117" i="3"/>
  <c r="M117" i="3"/>
  <c r="L112" i="3"/>
  <c r="M112" i="3"/>
  <c r="M115" i="3"/>
  <c r="L115" i="3"/>
  <c r="M116" i="3"/>
  <c r="L116" i="3"/>
  <c r="M114" i="3"/>
  <c r="L114" i="3"/>
  <c r="L118" i="3" l="1"/>
  <c r="A123" i="3" s="1"/>
  <c r="M118" i="3"/>
  <c r="B123" i="3" s="1"/>
  <c r="E131" i="3" l="1"/>
  <c r="E123" i="3"/>
  <c r="E132" i="3"/>
  <c r="E124" i="3"/>
  <c r="E125" i="3"/>
  <c r="E126" i="3"/>
  <c r="E127" i="3"/>
  <c r="E128" i="3"/>
  <c r="E129" i="3"/>
  <c r="E130" i="3"/>
  <c r="I130" i="3" l="1"/>
  <c r="G130" i="3"/>
  <c r="H130" i="3"/>
  <c r="F130" i="3"/>
  <c r="G127" i="3"/>
  <c r="I127" i="3"/>
  <c r="F127" i="3"/>
  <c r="H127" i="3"/>
  <c r="G124" i="3"/>
  <c r="H124" i="3"/>
  <c r="F124" i="3"/>
  <c r="I124" i="3"/>
  <c r="G129" i="3"/>
  <c r="F129" i="3"/>
  <c r="H129" i="3"/>
  <c r="I129" i="3"/>
  <c r="G126" i="3"/>
  <c r="F126" i="3"/>
  <c r="H126" i="3"/>
  <c r="I126" i="3"/>
  <c r="F131" i="3"/>
  <c r="G131" i="3"/>
  <c r="H131" i="3"/>
  <c r="I131" i="3"/>
  <c r="I128" i="3"/>
  <c r="F128" i="3"/>
  <c r="G128" i="3"/>
  <c r="H128" i="3"/>
  <c r="I125" i="3"/>
  <c r="G125" i="3"/>
  <c r="H125" i="3"/>
  <c r="F125" i="3"/>
  <c r="I132" i="3"/>
  <c r="G132" i="3"/>
  <c r="F132" i="3"/>
  <c r="H132" i="3"/>
  <c r="I123" i="3"/>
  <c r="F123" i="3"/>
  <c r="H123" i="3"/>
  <c r="G123" i="3"/>
  <c r="G133" i="3" l="1"/>
  <c r="M129" i="3"/>
  <c r="L129" i="3"/>
  <c r="M123" i="3"/>
  <c r="L123" i="3"/>
  <c r="L124" i="3"/>
  <c r="M124" i="3"/>
  <c r="M127" i="3"/>
  <c r="L127" i="3"/>
  <c r="L130" i="3"/>
  <c r="M130" i="3"/>
  <c r="M126" i="3"/>
  <c r="L126" i="3"/>
  <c r="L132" i="3"/>
  <c r="M132" i="3"/>
  <c r="M128" i="3"/>
  <c r="L128" i="3"/>
  <c r="M131" i="3"/>
  <c r="L131" i="3"/>
  <c r="L125" i="3"/>
  <c r="L133" i="3" s="1"/>
  <c r="A138" i="3" s="1"/>
  <c r="M125" i="3"/>
  <c r="M133" i="3" l="1"/>
  <c r="B138" i="3" s="1"/>
  <c r="E138" i="3" s="1"/>
  <c r="E144" i="3" l="1"/>
  <c r="G138" i="3"/>
  <c r="I138" i="3"/>
  <c r="F138" i="3"/>
  <c r="H138" i="3"/>
  <c r="E142" i="3"/>
  <c r="E139" i="3"/>
  <c r="E147" i="3"/>
  <c r="E146" i="3"/>
  <c r="E145" i="3"/>
  <c r="E143" i="3"/>
  <c r="E141" i="3"/>
  <c r="E140" i="3"/>
  <c r="M138" i="3" l="1"/>
  <c r="L138" i="3"/>
  <c r="I141" i="3"/>
  <c r="G141" i="3"/>
  <c r="F141" i="3"/>
  <c r="H141" i="3"/>
  <c r="I143" i="3"/>
  <c r="G143" i="3"/>
  <c r="H143" i="3"/>
  <c r="F143" i="3"/>
  <c r="I146" i="3"/>
  <c r="H146" i="3"/>
  <c r="F146" i="3"/>
  <c r="G146" i="3"/>
  <c r="I139" i="3"/>
  <c r="G139" i="3"/>
  <c r="H139" i="3"/>
  <c r="F139" i="3"/>
  <c r="I144" i="3"/>
  <c r="G144" i="3"/>
  <c r="H144" i="3"/>
  <c r="F144" i="3"/>
  <c r="I140" i="3"/>
  <c r="F140" i="3"/>
  <c r="G140" i="3"/>
  <c r="H140" i="3"/>
  <c r="I145" i="3"/>
  <c r="F145" i="3"/>
  <c r="G145" i="3"/>
  <c r="H145" i="3"/>
  <c r="I147" i="3"/>
  <c r="G147" i="3"/>
  <c r="F147" i="3"/>
  <c r="H147" i="3"/>
  <c r="I142" i="3"/>
  <c r="H142" i="3"/>
  <c r="F142" i="3"/>
  <c r="G142" i="3"/>
  <c r="G148" i="3" l="1"/>
  <c r="M142" i="3"/>
  <c r="L142" i="3"/>
  <c r="M141" i="3"/>
  <c r="L141" i="3"/>
  <c r="L147" i="3"/>
  <c r="M147" i="3"/>
  <c r="L143" i="3"/>
  <c r="M143" i="3"/>
  <c r="L146" i="3"/>
  <c r="M146" i="3"/>
  <c r="L140" i="3"/>
  <c r="M140" i="3"/>
  <c r="M139" i="3"/>
  <c r="L139" i="3"/>
  <c r="L145" i="3"/>
  <c r="M145" i="3"/>
  <c r="L144" i="3"/>
  <c r="M144" i="3"/>
  <c r="L148" i="3"/>
  <c r="A153" i="3" s="1"/>
  <c r="M148" i="3" l="1"/>
  <c r="B153" i="3" s="1"/>
  <c r="E160" i="3"/>
  <c r="E161" i="3"/>
  <c r="E162" i="3"/>
  <c r="E153" i="3"/>
  <c r="E154" i="3"/>
  <c r="E155" i="3"/>
  <c r="E158" i="3"/>
  <c r="E156" i="3"/>
  <c r="E159" i="3"/>
  <c r="E157" i="3"/>
  <c r="H157" i="3" l="1"/>
  <c r="F157" i="3"/>
  <c r="G157" i="3"/>
  <c r="I157" i="3"/>
  <c r="L157" i="3" s="1"/>
  <c r="H158" i="3"/>
  <c r="I158" i="3"/>
  <c r="F158" i="3"/>
  <c r="G158" i="3"/>
  <c r="H162" i="3"/>
  <c r="G162" i="3"/>
  <c r="F162" i="3"/>
  <c r="I162" i="3"/>
  <c r="I159" i="3"/>
  <c r="G159" i="3"/>
  <c r="F159" i="3"/>
  <c r="H159" i="3"/>
  <c r="F156" i="3"/>
  <c r="H156" i="3"/>
  <c r="G156" i="3"/>
  <c r="I156" i="3"/>
  <c r="I155" i="3"/>
  <c r="G155" i="3"/>
  <c r="H155" i="3"/>
  <c r="F155" i="3"/>
  <c r="I154" i="3"/>
  <c r="G154" i="3"/>
  <c r="H154" i="3"/>
  <c r="F154" i="3"/>
  <c r="I153" i="3"/>
  <c r="H153" i="3"/>
  <c r="G153" i="3"/>
  <c r="F153" i="3"/>
  <c r="H161" i="3"/>
  <c r="F161" i="3"/>
  <c r="G161" i="3"/>
  <c r="I161" i="3"/>
  <c r="M161" i="3" s="1"/>
  <c r="I160" i="3"/>
  <c r="H160" i="3"/>
  <c r="F160" i="3"/>
  <c r="G160" i="3"/>
  <c r="L156" i="3" l="1"/>
  <c r="M156" i="3"/>
  <c r="M160" i="3"/>
  <c r="L160" i="3"/>
  <c r="M162" i="3"/>
  <c r="L162" i="3"/>
  <c r="M159" i="3"/>
  <c r="L159" i="3"/>
  <c r="L153" i="3"/>
  <c r="M153" i="3"/>
  <c r="L154" i="3"/>
  <c r="M154" i="3"/>
  <c r="L161" i="3"/>
  <c r="G163" i="3"/>
  <c r="L158" i="3"/>
  <c r="M158" i="3"/>
  <c r="L155" i="3"/>
  <c r="M155" i="3"/>
  <c r="M157" i="3"/>
  <c r="M163" i="3" l="1"/>
  <c r="B168" i="3" s="1"/>
  <c r="L163" i="3"/>
  <c r="A168" i="3" s="1"/>
  <c r="E169" i="3" l="1"/>
  <c r="E170" i="3"/>
  <c r="E176" i="3"/>
  <c r="E177" i="3"/>
  <c r="E168" i="3"/>
  <c r="E172" i="3"/>
  <c r="E171" i="3"/>
  <c r="E173" i="3"/>
  <c r="E175" i="3"/>
  <c r="E174" i="3"/>
  <c r="I174" i="3" l="1"/>
  <c r="F174" i="3"/>
  <c r="G174" i="3"/>
  <c r="H174" i="3"/>
  <c r="I171" i="3"/>
  <c r="H171" i="3"/>
  <c r="F171" i="3"/>
  <c r="G171" i="3"/>
  <c r="I175" i="3"/>
  <c r="H175" i="3"/>
  <c r="G175" i="3"/>
  <c r="F175" i="3"/>
  <c r="I173" i="3"/>
  <c r="H173" i="3"/>
  <c r="F173" i="3"/>
  <c r="G173" i="3"/>
  <c r="I172" i="3"/>
  <c r="G172" i="3"/>
  <c r="F172" i="3"/>
  <c r="H172" i="3"/>
  <c r="I168" i="3"/>
  <c r="F168" i="3"/>
  <c r="H168" i="3"/>
  <c r="G168" i="3"/>
  <c r="I177" i="3"/>
  <c r="F177" i="3"/>
  <c r="G177" i="3"/>
  <c r="H177" i="3"/>
  <c r="I176" i="3"/>
  <c r="H176" i="3"/>
  <c r="G176" i="3"/>
  <c r="F176" i="3"/>
  <c r="I170" i="3"/>
  <c r="H170" i="3"/>
  <c r="F170" i="3"/>
  <c r="G170" i="3"/>
  <c r="I169" i="3"/>
  <c r="G169" i="3"/>
  <c r="H169" i="3"/>
  <c r="F169" i="3"/>
  <c r="L169" i="3" l="1"/>
  <c r="M169" i="3"/>
  <c r="M173" i="3"/>
  <c r="L173" i="3"/>
  <c r="M171" i="3"/>
  <c r="L171" i="3"/>
  <c r="M176" i="3"/>
  <c r="L176" i="3"/>
  <c r="M177" i="3"/>
  <c r="L177" i="3"/>
  <c r="M170" i="3"/>
  <c r="L170" i="3"/>
  <c r="M174" i="3"/>
  <c r="L174" i="3"/>
  <c r="M168" i="3"/>
  <c r="L168" i="3"/>
  <c r="M172" i="3"/>
  <c r="L172" i="3"/>
  <c r="M175" i="3"/>
  <c r="L175" i="3"/>
  <c r="G178" i="3"/>
  <c r="L178" i="3" l="1"/>
  <c r="A183" i="3" s="1"/>
  <c r="M178" i="3"/>
  <c r="B183" i="3" s="1"/>
  <c r="E183" i="3" l="1"/>
  <c r="E184" i="3"/>
  <c r="E185" i="3"/>
  <c r="E186" i="3"/>
  <c r="E187" i="3"/>
  <c r="E188" i="3"/>
  <c r="E189" i="3"/>
  <c r="E190" i="3"/>
  <c r="E191" i="3"/>
  <c r="E192" i="3"/>
  <c r="I189" i="3" l="1"/>
  <c r="F189" i="3"/>
  <c r="H189" i="3"/>
  <c r="G189" i="3"/>
  <c r="H191" i="3"/>
  <c r="F191" i="3"/>
  <c r="I191" i="3"/>
  <c r="L191" i="3" s="1"/>
  <c r="G191" i="3"/>
  <c r="I184" i="3"/>
  <c r="F184" i="3"/>
  <c r="G184" i="3"/>
  <c r="H184" i="3"/>
  <c r="I192" i="3"/>
  <c r="H192" i="3"/>
  <c r="F192" i="3"/>
  <c r="G192" i="3"/>
  <c r="I190" i="3"/>
  <c r="F190" i="3"/>
  <c r="G190" i="3"/>
  <c r="H190" i="3"/>
  <c r="G188" i="3"/>
  <c r="I188" i="3"/>
  <c r="H188" i="3"/>
  <c r="F188" i="3"/>
  <c r="I187" i="3"/>
  <c r="H187" i="3"/>
  <c r="F187" i="3"/>
  <c r="G187" i="3"/>
  <c r="H186" i="3"/>
  <c r="G186" i="3"/>
  <c r="F186" i="3"/>
  <c r="I186" i="3"/>
  <c r="M186" i="3" s="1"/>
  <c r="I185" i="3"/>
  <c r="G185" i="3"/>
  <c r="F185" i="3"/>
  <c r="H185" i="3"/>
  <c r="H183" i="3"/>
  <c r="G183" i="3"/>
  <c r="F183" i="3"/>
  <c r="I183" i="3"/>
  <c r="G193" i="3" l="1"/>
  <c r="M190" i="3"/>
  <c r="L190" i="3"/>
  <c r="L183" i="3"/>
  <c r="M183" i="3"/>
  <c r="L187" i="3"/>
  <c r="M187" i="3"/>
  <c r="L189" i="3"/>
  <c r="M189" i="3"/>
  <c r="M192" i="3"/>
  <c r="L192" i="3"/>
  <c r="L184" i="3"/>
  <c r="M184" i="3"/>
  <c r="L185" i="3"/>
  <c r="M185" i="3"/>
  <c r="L186" i="3"/>
  <c r="M191" i="3"/>
  <c r="M188" i="3"/>
  <c r="L188" i="3"/>
  <c r="M193" i="3" l="1"/>
  <c r="B198" i="3" s="1"/>
  <c r="L193" i="3"/>
  <c r="A198" i="3" s="1"/>
  <c r="E204" i="3" l="1"/>
  <c r="E205" i="3"/>
  <c r="E206" i="3"/>
  <c r="E207" i="3"/>
  <c r="E198" i="3"/>
  <c r="E200" i="3"/>
  <c r="E201" i="3"/>
  <c r="E202" i="3"/>
  <c r="E203" i="3"/>
  <c r="E199" i="3"/>
  <c r="I201" i="3" l="1"/>
  <c r="F201" i="3"/>
  <c r="H201" i="3"/>
  <c r="G201" i="3"/>
  <c r="I207" i="3"/>
  <c r="F207" i="3"/>
  <c r="G207" i="3"/>
  <c r="H207" i="3"/>
  <c r="I203" i="3"/>
  <c r="G203" i="3"/>
  <c r="H203" i="3"/>
  <c r="F203" i="3"/>
  <c r="I200" i="3"/>
  <c r="G200" i="3"/>
  <c r="H200" i="3"/>
  <c r="F200" i="3"/>
  <c r="H206" i="3"/>
  <c r="I206" i="3"/>
  <c r="L206" i="3" s="1"/>
  <c r="F206" i="3"/>
  <c r="G206" i="3"/>
  <c r="G199" i="3"/>
  <c r="F199" i="3"/>
  <c r="H199" i="3"/>
  <c r="I199" i="3"/>
  <c r="H205" i="3"/>
  <c r="G205" i="3"/>
  <c r="I205" i="3"/>
  <c r="M205" i="3" s="1"/>
  <c r="F205" i="3"/>
  <c r="I202" i="3"/>
  <c r="G202" i="3"/>
  <c r="F202" i="3"/>
  <c r="H202" i="3"/>
  <c r="I198" i="3"/>
  <c r="H198" i="3"/>
  <c r="G198" i="3"/>
  <c r="F198" i="3"/>
  <c r="F204" i="3"/>
  <c r="H204" i="3"/>
  <c r="I204" i="3"/>
  <c r="G204" i="3"/>
  <c r="M202" i="3" l="1"/>
  <c r="L202" i="3"/>
  <c r="M204" i="3"/>
  <c r="L204" i="3"/>
  <c r="M198" i="3"/>
  <c r="L198" i="3"/>
  <c r="G208" i="3"/>
  <c r="L205" i="3"/>
  <c r="M199" i="3"/>
  <c r="L199" i="3"/>
  <c r="M201" i="3"/>
  <c r="L201" i="3"/>
  <c r="L200" i="3"/>
  <c r="M200" i="3"/>
  <c r="L203" i="3"/>
  <c r="M203" i="3"/>
  <c r="M206" i="3"/>
  <c r="L207" i="3"/>
  <c r="M207" i="3"/>
  <c r="M208" i="3" l="1"/>
  <c r="B213" i="3" s="1"/>
  <c r="L208" i="3"/>
  <c r="A213" i="3" s="1"/>
  <c r="E214" i="3" l="1"/>
  <c r="E216" i="3"/>
  <c r="E215" i="3"/>
  <c r="E217" i="3"/>
  <c r="E218" i="3"/>
  <c r="E219" i="3"/>
  <c r="E220" i="3"/>
  <c r="E221" i="3"/>
  <c r="E222" i="3"/>
  <c r="E213" i="3"/>
  <c r="G213" i="3" l="1"/>
  <c r="F213" i="3"/>
  <c r="H213" i="3"/>
  <c r="I213" i="3"/>
  <c r="I222" i="3"/>
  <c r="G222" i="3"/>
  <c r="H222" i="3"/>
  <c r="F222" i="3"/>
  <c r="I220" i="3"/>
  <c r="G220" i="3"/>
  <c r="F220" i="3"/>
  <c r="H220" i="3"/>
  <c r="G218" i="3"/>
  <c r="H218" i="3"/>
  <c r="I218" i="3"/>
  <c r="F218" i="3"/>
  <c r="H221" i="3"/>
  <c r="G221" i="3"/>
  <c r="F221" i="3"/>
  <c r="I221" i="3"/>
  <c r="L221" i="3" s="1"/>
  <c r="I219" i="3"/>
  <c r="H219" i="3"/>
  <c r="F219" i="3"/>
  <c r="G219" i="3"/>
  <c r="I217" i="3"/>
  <c r="F217" i="3"/>
  <c r="G217" i="3"/>
  <c r="H217" i="3"/>
  <c r="I215" i="3"/>
  <c r="F215" i="3"/>
  <c r="G215" i="3"/>
  <c r="H215" i="3"/>
  <c r="I216" i="3"/>
  <c r="H216" i="3"/>
  <c r="G216" i="3"/>
  <c r="F216" i="3"/>
  <c r="I214" i="3"/>
  <c r="H214" i="3"/>
  <c r="F214" i="3"/>
  <c r="G214" i="3"/>
  <c r="M221" i="3" l="1"/>
  <c r="L218" i="3"/>
  <c r="M218" i="3"/>
  <c r="M214" i="3"/>
  <c r="L214" i="3"/>
  <c r="L215" i="3"/>
  <c r="M215" i="3"/>
  <c r="M213" i="3"/>
  <c r="L213" i="3"/>
  <c r="L216" i="3"/>
  <c r="M216" i="3"/>
  <c r="M220" i="3"/>
  <c r="L220" i="3"/>
  <c r="M217" i="3"/>
  <c r="L217" i="3"/>
  <c r="M222" i="3"/>
  <c r="L222" i="3"/>
  <c r="M219" i="3"/>
  <c r="L219" i="3"/>
  <c r="G223" i="3"/>
  <c r="L223" i="3" l="1"/>
  <c r="A228" i="3" s="1"/>
  <c r="M223" i="3"/>
  <c r="B228" i="3" s="1"/>
  <c r="E228" i="3" l="1"/>
  <c r="E236" i="3"/>
  <c r="E229" i="3"/>
  <c r="E230" i="3"/>
  <c r="E231" i="3"/>
  <c r="E232" i="3"/>
  <c r="E234" i="3"/>
  <c r="E235" i="3"/>
  <c r="E233" i="3"/>
  <c r="E237" i="3"/>
  <c r="I230" i="3" l="1"/>
  <c r="F230" i="3"/>
  <c r="G230" i="3"/>
  <c r="H230" i="3"/>
  <c r="G235" i="3"/>
  <c r="F235" i="3"/>
  <c r="H235" i="3"/>
  <c r="I235" i="3"/>
  <c r="I229" i="3"/>
  <c r="G229" i="3"/>
  <c r="F229" i="3"/>
  <c r="H229" i="3"/>
  <c r="I237" i="3"/>
  <c r="F237" i="3"/>
  <c r="G237" i="3"/>
  <c r="H237" i="3"/>
  <c r="H234" i="3"/>
  <c r="F234" i="3"/>
  <c r="G234" i="3"/>
  <c r="I234" i="3"/>
  <c r="I236" i="3"/>
  <c r="G236" i="3"/>
  <c r="H236" i="3"/>
  <c r="F236" i="3"/>
  <c r="I233" i="3"/>
  <c r="F233" i="3"/>
  <c r="G233" i="3"/>
  <c r="H233" i="3"/>
  <c r="I232" i="3"/>
  <c r="G232" i="3"/>
  <c r="F232" i="3"/>
  <c r="H232" i="3"/>
  <c r="I228" i="3"/>
  <c r="H228" i="3"/>
  <c r="G228" i="3"/>
  <c r="F228" i="3"/>
  <c r="I231" i="3"/>
  <c r="H231" i="3"/>
  <c r="F231" i="3"/>
  <c r="G231" i="3"/>
  <c r="M234" i="3" l="1"/>
  <c r="G238" i="3"/>
  <c r="L234" i="3"/>
  <c r="M232" i="3"/>
  <c r="L232" i="3"/>
  <c r="L228" i="3"/>
  <c r="M228" i="3"/>
  <c r="M229" i="3"/>
  <c r="L229" i="3"/>
  <c r="M233" i="3"/>
  <c r="L233" i="3"/>
  <c r="M231" i="3"/>
  <c r="L231" i="3"/>
  <c r="L230" i="3"/>
  <c r="M230" i="3"/>
  <c r="M237" i="3"/>
  <c r="L237" i="3"/>
  <c r="L235" i="3"/>
  <c r="M235" i="3"/>
  <c r="M236" i="3"/>
  <c r="L236" i="3"/>
  <c r="M238" i="3" l="1"/>
  <c r="B243" i="3" s="1"/>
  <c r="L238" i="3"/>
  <c r="A243" i="3" s="1"/>
  <c r="E244" i="3" l="1"/>
  <c r="E246" i="3"/>
  <c r="E245" i="3"/>
  <c r="E247" i="3"/>
  <c r="E248" i="3"/>
  <c r="E249" i="3"/>
  <c r="E250" i="3"/>
  <c r="E251" i="3"/>
  <c r="E252" i="3"/>
  <c r="E243" i="3"/>
  <c r="I250" i="3" l="1"/>
  <c r="F250" i="3"/>
  <c r="G250" i="3"/>
  <c r="H250" i="3"/>
  <c r="I243" i="3"/>
  <c r="H243" i="3"/>
  <c r="F243" i="3"/>
  <c r="G243" i="3"/>
  <c r="G252" i="3"/>
  <c r="F252" i="3"/>
  <c r="I252" i="3"/>
  <c r="H252" i="3"/>
  <c r="G248" i="3"/>
  <c r="I248" i="3"/>
  <c r="H248" i="3"/>
  <c r="F248" i="3"/>
  <c r="H246" i="3"/>
  <c r="I246" i="3"/>
  <c r="F246" i="3"/>
  <c r="G246" i="3"/>
  <c r="H251" i="3"/>
  <c r="G251" i="3"/>
  <c r="F251" i="3"/>
  <c r="I251" i="3"/>
  <c r="L251" i="3" s="1"/>
  <c r="I249" i="3"/>
  <c r="H249" i="3"/>
  <c r="G249" i="3"/>
  <c r="F249" i="3"/>
  <c r="H247" i="3"/>
  <c r="G247" i="3"/>
  <c r="I247" i="3"/>
  <c r="M247" i="3" s="1"/>
  <c r="F247" i="3"/>
  <c r="I245" i="3"/>
  <c r="G245" i="3"/>
  <c r="F245" i="3"/>
  <c r="H245" i="3"/>
  <c r="I244" i="3"/>
  <c r="H244" i="3"/>
  <c r="F244" i="3"/>
  <c r="G244" i="3"/>
  <c r="M246" i="3" l="1"/>
  <c r="L244" i="3"/>
  <c r="M244" i="3"/>
  <c r="L248" i="3"/>
  <c r="M248" i="3"/>
  <c r="L246" i="3"/>
  <c r="M243" i="3"/>
  <c r="L243" i="3"/>
  <c r="L250" i="3"/>
  <c r="M250" i="3"/>
  <c r="L245" i="3"/>
  <c r="M245" i="3"/>
  <c r="L252" i="3"/>
  <c r="M252" i="3"/>
  <c r="L247" i="3"/>
  <c r="G253" i="3"/>
  <c r="M249" i="3"/>
  <c r="L249" i="3"/>
  <c r="M251" i="3"/>
  <c r="M253" i="3" l="1"/>
  <c r="B258" i="3" s="1"/>
  <c r="L253" i="3"/>
  <c r="A258" i="3" s="1"/>
  <c r="E259" i="3" l="1"/>
  <c r="E260" i="3"/>
  <c r="E261" i="3"/>
  <c r="E262" i="3"/>
  <c r="E263" i="3"/>
  <c r="E264" i="3"/>
  <c r="E265" i="3"/>
  <c r="E266" i="3"/>
  <c r="E267" i="3"/>
  <c r="E258" i="3"/>
  <c r="I265" i="3" l="1"/>
  <c r="H265" i="3"/>
  <c r="G265" i="3"/>
  <c r="F265" i="3"/>
  <c r="I261" i="3"/>
  <c r="F261" i="3"/>
  <c r="H261" i="3"/>
  <c r="G261" i="3"/>
  <c r="F258" i="3"/>
  <c r="G258" i="3"/>
  <c r="I258" i="3"/>
  <c r="H258" i="3"/>
  <c r="I266" i="3"/>
  <c r="F266" i="3"/>
  <c r="H266" i="3"/>
  <c r="G266" i="3"/>
  <c r="I264" i="3"/>
  <c r="H264" i="3"/>
  <c r="G264" i="3"/>
  <c r="F264" i="3"/>
  <c r="F263" i="3"/>
  <c r="H263" i="3"/>
  <c r="G263" i="3"/>
  <c r="I263" i="3"/>
  <c r="I259" i="3"/>
  <c r="G259" i="3"/>
  <c r="H259" i="3"/>
  <c r="F259" i="3"/>
  <c r="I267" i="3"/>
  <c r="G267" i="3"/>
  <c r="F267" i="3"/>
  <c r="H267" i="3"/>
  <c r="I262" i="3"/>
  <c r="F262" i="3"/>
  <c r="G262" i="3"/>
  <c r="H262" i="3"/>
  <c r="G260" i="3"/>
  <c r="F260" i="3"/>
  <c r="I260" i="3"/>
  <c r="H260" i="3"/>
  <c r="L258" i="3" l="1"/>
  <c r="M258" i="3"/>
  <c r="L262" i="3"/>
  <c r="M262" i="3"/>
  <c r="M261" i="3"/>
  <c r="L261" i="3"/>
  <c r="L260" i="3"/>
  <c r="M260" i="3"/>
  <c r="L267" i="3"/>
  <c r="M267" i="3"/>
  <c r="L259" i="3"/>
  <c r="M259" i="3"/>
  <c r="M263" i="3"/>
  <c r="L263" i="3"/>
  <c r="M265" i="3"/>
  <c r="L265" i="3"/>
  <c r="M264" i="3"/>
  <c r="L264" i="3"/>
  <c r="L266" i="3"/>
  <c r="M266" i="3"/>
  <c r="G268" i="3"/>
  <c r="M268" i="3" l="1"/>
  <c r="B273" i="3" s="1"/>
  <c r="L268" i="3"/>
  <c r="A273" i="3" s="1"/>
  <c r="E277" i="3" l="1"/>
  <c r="E278" i="3"/>
  <c r="E279" i="3"/>
  <c r="E280" i="3"/>
  <c r="E281" i="3"/>
  <c r="E282" i="3"/>
  <c r="E273" i="3"/>
  <c r="E274" i="3"/>
  <c r="E275" i="3"/>
  <c r="E276" i="3"/>
  <c r="H273" i="3" l="1"/>
  <c r="I273" i="3"/>
  <c r="G273" i="3"/>
  <c r="F273" i="3"/>
  <c r="I280" i="3"/>
  <c r="F280" i="3"/>
  <c r="G280" i="3"/>
  <c r="H280" i="3"/>
  <c r="I276" i="3"/>
  <c r="G276" i="3"/>
  <c r="H276" i="3"/>
  <c r="F276" i="3"/>
  <c r="I275" i="3"/>
  <c r="F275" i="3"/>
  <c r="G275" i="3"/>
  <c r="H275" i="3"/>
  <c r="G274" i="3"/>
  <c r="H274" i="3"/>
  <c r="F274" i="3"/>
  <c r="I274" i="3"/>
  <c r="I282" i="3"/>
  <c r="H282" i="3"/>
  <c r="F282" i="3"/>
  <c r="G282" i="3"/>
  <c r="H278" i="3"/>
  <c r="I278" i="3"/>
  <c r="G278" i="3"/>
  <c r="F278" i="3"/>
  <c r="F281" i="3"/>
  <c r="H281" i="3"/>
  <c r="G281" i="3"/>
  <c r="I281" i="3"/>
  <c r="G279" i="3"/>
  <c r="F279" i="3"/>
  <c r="H279" i="3"/>
  <c r="I279" i="3"/>
  <c r="G277" i="3"/>
  <c r="F277" i="3"/>
  <c r="H277" i="3"/>
  <c r="I277" i="3"/>
  <c r="L274" i="3" l="1"/>
  <c r="M274" i="3"/>
  <c r="M275" i="3"/>
  <c r="L275" i="3"/>
  <c r="L277" i="3"/>
  <c r="M277" i="3"/>
  <c r="M276" i="3"/>
  <c r="L276" i="3"/>
  <c r="M278" i="3"/>
  <c r="L278" i="3"/>
  <c r="G283" i="3"/>
  <c r="L279" i="3"/>
  <c r="M279" i="3"/>
  <c r="M281" i="3"/>
  <c r="L281" i="3"/>
  <c r="M282" i="3"/>
  <c r="L282" i="3"/>
  <c r="L280" i="3"/>
  <c r="M280" i="3"/>
  <c r="M273" i="3"/>
  <c r="M283" i="3" s="1"/>
  <c r="B288" i="3" s="1"/>
  <c r="L273" i="3"/>
  <c r="L283" i="3" l="1"/>
  <c r="A288" i="3" s="1"/>
  <c r="E291" i="3" l="1"/>
  <c r="E292" i="3"/>
  <c r="E293" i="3"/>
  <c r="E294" i="3"/>
  <c r="E295" i="3"/>
  <c r="E296" i="3"/>
  <c r="E297" i="3"/>
  <c r="E288" i="3"/>
  <c r="E289" i="3"/>
  <c r="E290" i="3"/>
  <c r="I288" i="3" l="1"/>
  <c r="H288" i="3"/>
  <c r="F288" i="3"/>
  <c r="G288" i="3"/>
  <c r="I290" i="3"/>
  <c r="H290" i="3"/>
  <c r="G290" i="3"/>
  <c r="F290" i="3"/>
  <c r="I293" i="3"/>
  <c r="G293" i="3"/>
  <c r="H293" i="3"/>
  <c r="F293" i="3"/>
  <c r="H289" i="3"/>
  <c r="F289" i="3"/>
  <c r="G289" i="3"/>
  <c r="I289" i="3"/>
  <c r="I297" i="3"/>
  <c r="F297" i="3"/>
  <c r="G297" i="3"/>
  <c r="H297" i="3"/>
  <c r="H294" i="3"/>
  <c r="I294" i="3"/>
  <c r="L294" i="3" s="1"/>
  <c r="G294" i="3"/>
  <c r="F294" i="3"/>
  <c r="H292" i="3"/>
  <c r="I292" i="3"/>
  <c r="M292" i="3" s="1"/>
  <c r="G292" i="3"/>
  <c r="F292" i="3"/>
  <c r="H296" i="3"/>
  <c r="I296" i="3"/>
  <c r="F296" i="3"/>
  <c r="G296" i="3"/>
  <c r="I295" i="3"/>
  <c r="H295" i="3"/>
  <c r="F295" i="3"/>
  <c r="G295" i="3"/>
  <c r="I291" i="3"/>
  <c r="G291" i="3"/>
  <c r="F291" i="3"/>
  <c r="H291" i="3"/>
  <c r="M289" i="3" l="1"/>
  <c r="M296" i="3"/>
  <c r="L289" i="3"/>
  <c r="M291" i="3"/>
  <c r="L291" i="3"/>
  <c r="M297" i="3"/>
  <c r="L297" i="3"/>
  <c r="L293" i="3"/>
  <c r="M293" i="3"/>
  <c r="G298" i="3"/>
  <c r="M295" i="3"/>
  <c r="L295" i="3"/>
  <c r="L296" i="3"/>
  <c r="M288" i="3"/>
  <c r="L288" i="3"/>
  <c r="L290" i="3"/>
  <c r="M290" i="3"/>
  <c r="L292" i="3"/>
  <c r="M294" i="3"/>
  <c r="M298" i="3" l="1"/>
  <c r="B303" i="3" s="1"/>
  <c r="L298" i="3"/>
  <c r="A303" i="3" s="1"/>
  <c r="E306" i="3" l="1"/>
  <c r="E312" i="3"/>
  <c r="E307" i="3"/>
  <c r="E308" i="3"/>
  <c r="E309" i="3"/>
  <c r="E310" i="3"/>
  <c r="E311" i="3"/>
  <c r="E305" i="3"/>
  <c r="E303" i="3"/>
  <c r="E304" i="3"/>
  <c r="I310" i="3" l="1"/>
  <c r="H310" i="3"/>
  <c r="F310" i="3"/>
  <c r="G310" i="3"/>
  <c r="I309" i="3"/>
  <c r="F309" i="3"/>
  <c r="H309" i="3"/>
  <c r="G309" i="3"/>
  <c r="I305" i="3"/>
  <c r="F305" i="3"/>
  <c r="G305" i="3"/>
  <c r="H305" i="3"/>
  <c r="I308" i="3"/>
  <c r="H308" i="3"/>
  <c r="F308" i="3"/>
  <c r="G308" i="3"/>
  <c r="I311" i="3"/>
  <c r="G311" i="3"/>
  <c r="H311" i="3"/>
  <c r="F311" i="3"/>
  <c r="G307" i="3"/>
  <c r="H307" i="3"/>
  <c r="I307" i="3"/>
  <c r="F307" i="3"/>
  <c r="I304" i="3"/>
  <c r="H304" i="3"/>
  <c r="F304" i="3"/>
  <c r="G304" i="3"/>
  <c r="G312" i="3"/>
  <c r="F312" i="3"/>
  <c r="H312" i="3"/>
  <c r="I312" i="3"/>
  <c r="I303" i="3"/>
  <c r="H303" i="3"/>
  <c r="G303" i="3"/>
  <c r="F303" i="3"/>
  <c r="G306" i="3"/>
  <c r="F306" i="3"/>
  <c r="I306" i="3"/>
  <c r="H306" i="3"/>
  <c r="L311" i="3" l="1"/>
  <c r="M311" i="3"/>
  <c r="L305" i="3"/>
  <c r="M305" i="3"/>
  <c r="G313" i="3"/>
  <c r="L308" i="3"/>
  <c r="M308" i="3"/>
  <c r="M304" i="3"/>
  <c r="L304" i="3"/>
  <c r="M303" i="3"/>
  <c r="L303" i="3"/>
  <c r="M309" i="3"/>
  <c r="L309" i="3"/>
  <c r="M312" i="3"/>
  <c r="L312" i="3"/>
  <c r="L307" i="3"/>
  <c r="M307" i="3"/>
  <c r="L310" i="3"/>
  <c r="M310" i="3"/>
  <c r="L306" i="3"/>
  <c r="M306" i="3"/>
  <c r="L313" i="3" l="1"/>
  <c r="A318" i="3" s="1"/>
  <c r="M313" i="3"/>
  <c r="B318" i="3" s="1"/>
  <c r="E323" i="3" l="1"/>
  <c r="E325" i="3"/>
  <c r="E318" i="3"/>
  <c r="E324" i="3"/>
  <c r="E320" i="3"/>
  <c r="E322" i="3"/>
  <c r="E327" i="3"/>
  <c r="E326" i="3"/>
  <c r="E321" i="3"/>
  <c r="E319" i="3"/>
  <c r="G326" i="3" l="1"/>
  <c r="H326" i="3"/>
  <c r="I326" i="3"/>
  <c r="F326" i="3"/>
  <c r="I322" i="3"/>
  <c r="G322" i="3"/>
  <c r="F322" i="3"/>
  <c r="H322" i="3"/>
  <c r="I319" i="3"/>
  <c r="F319" i="3"/>
  <c r="G319" i="3"/>
  <c r="H319" i="3"/>
  <c r="I327" i="3"/>
  <c r="G327" i="3"/>
  <c r="F327" i="3"/>
  <c r="H327" i="3"/>
  <c r="I323" i="3"/>
  <c r="H323" i="3"/>
  <c r="G323" i="3"/>
  <c r="F323" i="3"/>
  <c r="F321" i="3"/>
  <c r="I321" i="3"/>
  <c r="G321" i="3"/>
  <c r="H321" i="3"/>
  <c r="I320" i="3"/>
  <c r="H320" i="3"/>
  <c r="G320" i="3"/>
  <c r="F320" i="3"/>
  <c r="I324" i="3"/>
  <c r="F324" i="3"/>
  <c r="H324" i="3"/>
  <c r="G324" i="3"/>
  <c r="I318" i="3"/>
  <c r="H318" i="3"/>
  <c r="G318" i="3"/>
  <c r="F318" i="3"/>
  <c r="I325" i="3"/>
  <c r="G325" i="3"/>
  <c r="F325" i="3"/>
  <c r="H325" i="3"/>
  <c r="M327" i="3" l="1"/>
  <c r="L327" i="3"/>
  <c r="M319" i="3"/>
  <c r="L319" i="3"/>
  <c r="M323" i="3"/>
  <c r="L323" i="3"/>
  <c r="G328" i="3"/>
  <c r="L318" i="3"/>
  <c r="M318" i="3"/>
  <c r="M324" i="3"/>
  <c r="L324" i="3"/>
  <c r="L320" i="3"/>
  <c r="M320" i="3"/>
  <c r="L325" i="3"/>
  <c r="M325" i="3"/>
  <c r="M322" i="3"/>
  <c r="L322" i="3"/>
  <c r="L321" i="3"/>
  <c r="M321" i="3"/>
  <c r="L326" i="3"/>
  <c r="M326" i="3"/>
  <c r="M328" i="3" l="1"/>
  <c r="B333" i="3" s="1"/>
  <c r="L328" i="3"/>
  <c r="A333" i="3" s="1"/>
  <c r="E341" i="3" l="1"/>
  <c r="E342" i="3"/>
  <c r="E333" i="3"/>
  <c r="E334" i="3"/>
  <c r="E335" i="3"/>
  <c r="E336" i="3"/>
  <c r="E337" i="3"/>
  <c r="E339" i="3"/>
  <c r="E340" i="3"/>
  <c r="E338" i="3"/>
  <c r="I338" i="3" l="1"/>
  <c r="H338" i="3"/>
  <c r="G338" i="3"/>
  <c r="F338" i="3"/>
  <c r="I335" i="3"/>
  <c r="H335" i="3"/>
  <c r="F335" i="3"/>
  <c r="G335" i="3"/>
  <c r="H339" i="3"/>
  <c r="G339" i="3"/>
  <c r="I339" i="3"/>
  <c r="F339" i="3"/>
  <c r="I334" i="3"/>
  <c r="H334" i="3"/>
  <c r="F334" i="3"/>
  <c r="G334" i="3"/>
  <c r="I340" i="3"/>
  <c r="G340" i="3"/>
  <c r="H340" i="3"/>
  <c r="F340" i="3"/>
  <c r="I336" i="3"/>
  <c r="F336" i="3"/>
  <c r="G336" i="3"/>
  <c r="H336" i="3"/>
  <c r="I337" i="3"/>
  <c r="H337" i="3"/>
  <c r="F337" i="3"/>
  <c r="G337" i="3"/>
  <c r="I333" i="3"/>
  <c r="H333" i="3"/>
  <c r="G333" i="3"/>
  <c r="F333" i="3"/>
  <c r="I342" i="3"/>
  <c r="G342" i="3"/>
  <c r="H342" i="3"/>
  <c r="F342" i="3"/>
  <c r="H341" i="3"/>
  <c r="F341" i="3"/>
  <c r="G341" i="3"/>
  <c r="I341" i="3"/>
  <c r="L341" i="3" l="1"/>
  <c r="L339" i="3"/>
  <c r="L340" i="3"/>
  <c r="M340" i="3"/>
  <c r="M341" i="3"/>
  <c r="L334" i="3"/>
  <c r="M334" i="3"/>
  <c r="M339" i="3"/>
  <c r="L342" i="3"/>
  <c r="M342" i="3"/>
  <c r="G343" i="3"/>
  <c r="M335" i="3"/>
  <c r="L335" i="3"/>
  <c r="M336" i="3"/>
  <c r="L336" i="3"/>
  <c r="L338" i="3"/>
  <c r="M338" i="3"/>
  <c r="M333" i="3"/>
  <c r="L333" i="3"/>
  <c r="M337" i="3"/>
  <c r="L337" i="3"/>
  <c r="M343" i="3" l="1"/>
  <c r="B348" i="3" s="1"/>
  <c r="L343" i="3"/>
  <c r="A348" i="3" s="1"/>
  <c r="J5" i="3" l="1"/>
  <c r="E348" i="3"/>
  <c r="E349" i="3"/>
  <c r="E354" i="3"/>
  <c r="E355" i="3"/>
  <c r="E356" i="3"/>
  <c r="E357" i="3"/>
  <c r="E350" i="3"/>
  <c r="E351" i="3"/>
  <c r="E352" i="3"/>
  <c r="E353" i="3"/>
  <c r="I348" i="3" l="1"/>
  <c r="H348" i="3"/>
  <c r="G348" i="3"/>
  <c r="F348" i="3"/>
  <c r="I353" i="3"/>
  <c r="F353" i="3"/>
  <c r="G353" i="3"/>
  <c r="H353" i="3"/>
  <c r="H352" i="3"/>
  <c r="I352" i="3"/>
  <c r="F352" i="3"/>
  <c r="G352" i="3"/>
  <c r="I357" i="3"/>
  <c r="H357" i="3"/>
  <c r="G357" i="3"/>
  <c r="F357" i="3"/>
  <c r="F354" i="3"/>
  <c r="H354" i="3"/>
  <c r="I354" i="3"/>
  <c r="G354" i="3"/>
  <c r="I351" i="3"/>
  <c r="G351" i="3"/>
  <c r="F351" i="3"/>
  <c r="H351" i="3"/>
  <c r="H350" i="3"/>
  <c r="G350" i="3"/>
  <c r="I350" i="3"/>
  <c r="L350" i="3" s="1"/>
  <c r="F350" i="3"/>
  <c r="I356" i="3"/>
  <c r="F356" i="3"/>
  <c r="H356" i="3"/>
  <c r="G356" i="3"/>
  <c r="G355" i="3"/>
  <c r="F355" i="3"/>
  <c r="H355" i="3"/>
  <c r="I355" i="3"/>
  <c r="F349" i="3"/>
  <c r="G349" i="3"/>
  <c r="H349" i="3"/>
  <c r="I349" i="3"/>
  <c r="L354" i="3" l="1"/>
  <c r="M354" i="3"/>
  <c r="L355" i="3"/>
  <c r="M355" i="3"/>
  <c r="M349" i="3"/>
  <c r="L349" i="3"/>
  <c r="M357" i="3"/>
  <c r="L357" i="3"/>
  <c r="M356" i="3"/>
  <c r="L356" i="3"/>
  <c r="L352" i="3"/>
  <c r="M352" i="3"/>
  <c r="M353" i="3"/>
  <c r="L353" i="3"/>
  <c r="G358" i="3"/>
  <c r="M350" i="3"/>
  <c r="M348" i="3"/>
  <c r="L348" i="3"/>
  <c r="M351" i="3"/>
  <c r="L351" i="3"/>
  <c r="L358" i="3" l="1"/>
  <c r="M358" i="3"/>
</calcChain>
</file>

<file path=xl/sharedStrings.xml><?xml version="1.0" encoding="utf-8"?>
<sst xmlns="http://schemas.openxmlformats.org/spreadsheetml/2006/main" count="511" uniqueCount="52">
  <si>
    <t>Resistance</t>
  </si>
  <si>
    <t>Length</t>
  </si>
  <si>
    <t xml:space="preserve"> </t>
  </si>
  <si>
    <t>Desired Function to Learn</t>
  </si>
  <si>
    <t>Cost</t>
  </si>
  <si>
    <t>Bias</t>
  </si>
  <si>
    <t>Weights</t>
  </si>
  <si>
    <t>Inputs</t>
  </si>
  <si>
    <t>Weighted Sum</t>
  </si>
  <si>
    <t>Output</t>
  </si>
  <si>
    <t>𝛿C/</t>
  </si>
  <si>
    <t>w_1</t>
  </si>
  <si>
    <t>x_1</t>
  </si>
  <si>
    <t>C</t>
  </si>
  <si>
    <t>𝛿w_1</t>
  </si>
  <si>
    <r>
      <t>x</t>
    </r>
    <r>
      <rPr>
        <vertAlign val="subscript"/>
        <sz val="12"/>
        <color theme="1"/>
        <rFont val="Times New Roman"/>
        <family val="1"/>
      </rPr>
      <t>i</t>
    </r>
  </si>
  <si>
    <r>
      <t>y</t>
    </r>
    <r>
      <rPr>
        <vertAlign val="subscript"/>
        <sz val="12"/>
        <color theme="1"/>
        <rFont val="Times New Roman"/>
        <family val="1"/>
      </rPr>
      <t>i</t>
    </r>
  </si>
  <si>
    <r>
      <t>f(x</t>
    </r>
    <r>
      <rPr>
        <b/>
        <vertAlign val="subscript"/>
        <sz val="12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>)</t>
    </r>
  </si>
  <si>
    <r>
      <t>[f(x</t>
    </r>
    <r>
      <rPr>
        <b/>
        <vertAlign val="subscript"/>
        <sz val="12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>) - y</t>
    </r>
    <r>
      <rPr>
        <b/>
        <vertAlign val="subscript"/>
        <sz val="12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>]</t>
    </r>
    <r>
      <rPr>
        <b/>
        <vertAlign val="superscript"/>
        <sz val="12"/>
        <color theme="1"/>
        <rFont val="Times New Roman"/>
        <family val="1"/>
      </rPr>
      <t>2</t>
    </r>
  </si>
  <si>
    <r>
      <t>e</t>
    </r>
    <r>
      <rPr>
        <vertAlign val="subscript"/>
        <sz val="12"/>
        <color theme="1"/>
        <rFont val="Times New Roman"/>
        <family val="1"/>
      </rPr>
      <t>i</t>
    </r>
    <r>
      <rPr>
        <vertAlign val="superscript"/>
        <sz val="12"/>
        <color theme="1"/>
        <rFont val="Times New Roman"/>
        <family val="1"/>
      </rPr>
      <t>2</t>
    </r>
  </si>
  <si>
    <t>SSE</t>
  </si>
  <si>
    <t>Slope:</t>
  </si>
  <si>
    <t>Intercept:</t>
  </si>
  <si>
    <t>Step 1:</t>
  </si>
  <si>
    <t>Step 2:</t>
  </si>
  <si>
    <t>Step 3:</t>
  </si>
  <si>
    <t>Step 4:</t>
  </si>
  <si>
    <t>Step 5:</t>
  </si>
  <si>
    <t>Step 6:</t>
  </si>
  <si>
    <t>Step 7:</t>
  </si>
  <si>
    <t>Step 8:</t>
  </si>
  <si>
    <t>Step 9:</t>
  </si>
  <si>
    <t>Step 10:</t>
  </si>
  <si>
    <t>Step 11:</t>
  </si>
  <si>
    <t>Step 12:</t>
  </si>
  <si>
    <t>Step 13:</t>
  </si>
  <si>
    <t>Step 14:</t>
  </si>
  <si>
    <t>Step 15:</t>
  </si>
  <si>
    <t>Step 16:</t>
  </si>
  <si>
    <t>Step 17:</t>
  </si>
  <si>
    <t>Step 18:</t>
  </si>
  <si>
    <t>Step 19:</t>
  </si>
  <si>
    <t>Step 20:</t>
  </si>
  <si>
    <t>Predictions</t>
  </si>
  <si>
    <t>Learning rate (k):</t>
  </si>
  <si>
    <t>z_1</t>
  </si>
  <si>
    <t>a_1</t>
  </si>
  <si>
    <t>𝛿C/𝛿a_1</t>
  </si>
  <si>
    <t>𝛿a_1/𝛿z_1</t>
  </si>
  <si>
    <t>𝛿z_1/</t>
  </si>
  <si>
    <t>b_1</t>
  </si>
  <si>
    <t>𝛿b_1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</si>
</sst>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3" x14ac:knownFonts="1">
    <font>
      <sz val="11"/>
      <color theme="1"/>
      <name val="Aptos Narrow"/>
      <family val="2"/>
      <scheme val="minor"/>
    </font>
    <font>
      <sz val="10"/>
      <color theme="1"/>
      <name val="Arial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vertAlign val="subscript"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b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Alignment="1">
      <alignment horizontal="center" vertical="center" wrapText="1"/>
    </xf>
    <xf numFmtId="0" fontId="2" fillId="0" borderId="1" xfId="0" applyFont="1" applyBorder="1"/>
    <xf numFmtId="0" fontId="3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2" fillId="0" borderId="0" xfId="0" applyNumberFormat="1" applyFont="1" applyAlignment="1">
      <alignment horizontal="right"/>
    </xf>
    <xf numFmtId="165" fontId="5" fillId="0" borderId="7" xfId="0" applyNumberFormat="1" applyFont="1" applyBorder="1" applyAlignment="1">
      <alignment horizontal="center" vertical="center"/>
    </xf>
    <xf numFmtId="0" fontId="2" fillId="0" borderId="8" xfId="0" applyFont="1" applyBorder="1"/>
    <xf numFmtId="165" fontId="2" fillId="0" borderId="1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10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0" fontId="12" fillId="0" borderId="0" xfId="0" applyFont="1"/>
    <xf numFmtId="165" fontId="2" fillId="0" borderId="0" xfId="0" applyNumberFormat="1" applyFont="1"/>
    <xf numFmtId="165" fontId="2" fillId="0" borderId="11" xfId="0" applyNumberFormat="1" applyFont="1" applyBorder="1" applyAlignment="1">
      <alignment horizontal="center" vertical="center"/>
    </xf>
    <xf numFmtId="165" fontId="2" fillId="0" borderId="15" xfId="0" applyNumberFormat="1" applyFont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 vertical="center"/>
    </xf>
    <xf numFmtId="2" fontId="2" fillId="3" borderId="9" xfId="0" applyNumberFormat="1" applyFont="1" applyFill="1" applyBorder="1" applyAlignment="1">
      <alignment horizontal="center" vertical="center"/>
    </xf>
    <xf numFmtId="165" fontId="2" fillId="3" borderId="9" xfId="0" applyNumberFormat="1" applyFont="1" applyFill="1" applyBorder="1" applyAlignment="1">
      <alignment horizontal="center"/>
    </xf>
    <xf numFmtId="165" fontId="2" fillId="3" borderId="18" xfId="0" applyNumberFormat="1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2" fontId="2" fillId="3" borderId="19" xfId="0" applyNumberFormat="1" applyFont="1" applyFill="1" applyBorder="1" applyAlignment="1">
      <alignment horizontal="center" vertical="center"/>
    </xf>
    <xf numFmtId="165" fontId="2" fillId="3" borderId="19" xfId="0" applyNumberFormat="1" applyFont="1" applyFill="1" applyBorder="1" applyAlignment="1">
      <alignment horizontal="center"/>
    </xf>
    <xf numFmtId="165" fontId="2" fillId="3" borderId="15" xfId="0" applyNumberFormat="1" applyFont="1" applyFill="1" applyBorder="1" applyAlignment="1">
      <alignment horizontal="center"/>
    </xf>
    <xf numFmtId="165" fontId="2" fillId="0" borderId="13" xfId="0" applyNumberFormat="1" applyFont="1" applyBorder="1" applyAlignment="1">
      <alignment horizontal="center"/>
    </xf>
    <xf numFmtId="0" fontId="3" fillId="0" borderId="10" xfId="0" applyFont="1" applyBorder="1" applyAlignment="1">
      <alignment horizontal="right"/>
    </xf>
    <xf numFmtId="0" fontId="4" fillId="0" borderId="20" xfId="0" applyFont="1" applyBorder="1" applyAlignment="1">
      <alignment horizontal="right"/>
    </xf>
    <xf numFmtId="0" fontId="5" fillId="0" borderId="11" xfId="0" applyFont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2" fontId="2" fillId="5" borderId="15" xfId="0" applyNumberFormat="1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2" fontId="2" fillId="7" borderId="22" xfId="0" applyNumberFormat="1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2" fontId="2" fillId="7" borderId="18" xfId="0" applyNumberFormat="1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2" fontId="2" fillId="7" borderId="1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657225</xdr:colOff>
      <xdr:row>2</xdr:row>
      <xdr:rowOff>95250</xdr:rowOff>
    </xdr:from>
    <xdr:ext cx="3600450" cy="11106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6B4052DF-A341-49AB-8005-495DB1CBCA41}"/>
            </a:ext>
          </a:extLst>
        </xdr:cNvPr>
        <xdr:cNvGrpSpPr/>
      </xdr:nvGrpSpPr>
      <xdr:grpSpPr>
        <a:xfrm>
          <a:off x="3000375" y="504825"/>
          <a:ext cx="3600450" cy="1110625"/>
          <a:chOff x="-267115" y="781640"/>
          <a:chExt cx="6618751" cy="2030626"/>
        </a:xfrm>
      </xdr:grpSpPr>
      <xdr:sp macro="" textlink="">
        <xdr:nvSpPr>
          <xdr:cNvPr id="3" name="Shape 13">
            <a:extLst>
              <a:ext uri="{FF2B5EF4-FFF2-40B4-BE49-F238E27FC236}">
                <a16:creationId xmlns:a16="http://schemas.microsoft.com/office/drawing/2014/main" id="{0EED3890-2CF1-DEF7-7368-2F6AD2C240E2}"/>
              </a:ext>
            </a:extLst>
          </xdr:cNvPr>
          <xdr:cNvSpPr/>
        </xdr:nvSpPr>
        <xdr:spPr>
          <a:xfrm>
            <a:off x="-267115" y="1881569"/>
            <a:ext cx="1628423" cy="925499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Input: Length</a:t>
            </a:r>
            <a:endParaRPr sz="1100"/>
          </a:p>
        </xdr:txBody>
      </xdr:sp>
      <xdr:sp macro="" textlink="">
        <xdr:nvSpPr>
          <xdr:cNvPr id="4" name="Shape 15">
            <a:extLst>
              <a:ext uri="{FF2B5EF4-FFF2-40B4-BE49-F238E27FC236}">
                <a16:creationId xmlns:a16="http://schemas.microsoft.com/office/drawing/2014/main" id="{F5BB67F4-A758-E792-FD96-831E2C2BB838}"/>
              </a:ext>
            </a:extLst>
          </xdr:cNvPr>
          <xdr:cNvSpPr/>
        </xdr:nvSpPr>
        <xdr:spPr>
          <a:xfrm>
            <a:off x="4185049" y="1886767"/>
            <a:ext cx="2166587" cy="925499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Output:</a:t>
            </a:r>
            <a:r>
              <a:rPr lang="en-US" sz="1100" baseline="0"/>
              <a:t> Resistance</a:t>
            </a:r>
            <a:endParaRPr sz="1100"/>
          </a:p>
        </xdr:txBody>
      </xdr:sp>
      <xdr:sp macro="" textlink="">
        <xdr:nvSpPr>
          <xdr:cNvPr id="5" name="Shape 16">
            <a:extLst>
              <a:ext uri="{FF2B5EF4-FFF2-40B4-BE49-F238E27FC236}">
                <a16:creationId xmlns:a16="http://schemas.microsoft.com/office/drawing/2014/main" id="{E79BD131-D5E6-1669-7DBA-414E44A4EC36}"/>
              </a:ext>
            </a:extLst>
          </xdr:cNvPr>
          <xdr:cNvSpPr txBox="1"/>
        </xdr:nvSpPr>
        <xdr:spPr>
          <a:xfrm>
            <a:off x="4443056" y="781640"/>
            <a:ext cx="1077255" cy="661776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Bias 1</a:t>
            </a:r>
            <a:br>
              <a:rPr lang="en-US" sz="1100"/>
            </a:br>
            <a:endParaRPr sz="1100"/>
          </a:p>
        </xdr:txBody>
      </xdr:sp>
      <xdr:cxnSp macro="">
        <xdr:nvCxnSpPr>
          <xdr:cNvPr id="6" name="Shape 17">
            <a:extLst>
              <a:ext uri="{FF2B5EF4-FFF2-40B4-BE49-F238E27FC236}">
                <a16:creationId xmlns:a16="http://schemas.microsoft.com/office/drawing/2014/main" id="{5CE08AF4-CF40-4F5F-5A72-2829A3D6DD91}"/>
              </a:ext>
            </a:extLst>
          </xdr:cNvPr>
          <xdr:cNvCxnSpPr>
            <a:stCxn id="5" idx="2"/>
            <a:endCxn id="4" idx="0"/>
          </xdr:cNvCxnSpPr>
        </xdr:nvCxnSpPr>
        <xdr:spPr>
          <a:xfrm>
            <a:off x="4981684" y="1443416"/>
            <a:ext cx="286659" cy="443351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60A40743-3A46-C8DE-A936-4100EE3797E3}"/>
              </a:ext>
            </a:extLst>
          </xdr:cNvPr>
          <xdr:cNvCxnSpPr>
            <a:stCxn id="3" idx="6"/>
            <a:endCxn id="4" idx="2"/>
          </xdr:cNvCxnSpPr>
        </xdr:nvCxnSpPr>
        <xdr:spPr>
          <a:xfrm>
            <a:off x="1361308" y="2344318"/>
            <a:ext cx="2823741" cy="5198"/>
          </a:xfrm>
          <a:prstGeom prst="straightConnector1">
            <a:avLst/>
          </a:prstGeom>
          <a:noFill/>
          <a:ln w="38100" cap="flat" cmpd="sng">
            <a:solidFill>
              <a:srgbClr val="FF99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8" name="Shape 20">
            <a:extLst>
              <a:ext uri="{FF2B5EF4-FFF2-40B4-BE49-F238E27FC236}">
                <a16:creationId xmlns:a16="http://schemas.microsoft.com/office/drawing/2014/main" id="{78927478-FE88-B147-74EC-D19634F84B79}"/>
              </a:ext>
            </a:extLst>
          </xdr:cNvPr>
          <xdr:cNvSpPr txBox="1"/>
        </xdr:nvSpPr>
        <xdr:spPr>
          <a:xfrm>
            <a:off x="1850192" y="1632641"/>
            <a:ext cx="1367167" cy="634186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Weight 1</a:t>
            </a:r>
            <a:endParaRPr sz="1100"/>
          </a:p>
        </xdr:txBody>
      </xdr:sp>
    </xdr:grp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A185-2863-4111-ABC2-F0D0CD0839A9}">
  <dimension ref="B1:C28"/>
  <sheetViews>
    <sheetView workbookViewId="0">
      <selection activeCell="C24" sqref="C24"/>
    </sheetView>
  </sheetViews>
  <sheetFormatPr defaultRowHeight="15.75" x14ac:dyDescent="0.25"/>
  <cols>
    <col min="1" max="1" width="4" style="3" customWidth="1"/>
    <col min="2" max="3" width="15.42578125" style="16" customWidth="1"/>
    <col min="4" max="16384" width="9.140625" style="3"/>
  </cols>
  <sheetData>
    <row r="1" spans="2:3" ht="18.75" x14ac:dyDescent="0.35">
      <c r="B1" s="16" t="s">
        <v>15</v>
      </c>
      <c r="C1" s="16" t="s">
        <v>16</v>
      </c>
    </row>
    <row r="2" spans="2:3" x14ac:dyDescent="0.25">
      <c r="B2" s="8" t="s">
        <v>1</v>
      </c>
      <c r="C2" s="8" t="s">
        <v>0</v>
      </c>
    </row>
    <row r="3" spans="2:3" x14ac:dyDescent="0.25">
      <c r="B3" s="5">
        <v>5</v>
      </c>
      <c r="C3" s="6">
        <v>1.4366666666666668</v>
      </c>
    </row>
    <row r="4" spans="2:3" x14ac:dyDescent="0.25">
      <c r="B4" s="5">
        <v>10</v>
      </c>
      <c r="C4" s="6">
        <v>2.8733333333333335</v>
      </c>
    </row>
    <row r="5" spans="2:3" x14ac:dyDescent="0.25">
      <c r="B5" s="5">
        <v>15</v>
      </c>
      <c r="C5" s="6">
        <v>2.8100000000000005</v>
      </c>
    </row>
    <row r="6" spans="2:3" x14ac:dyDescent="0.25">
      <c r="B6" s="5">
        <v>20</v>
      </c>
      <c r="C6" s="6">
        <v>4.246666666666667</v>
      </c>
    </row>
    <row r="7" spans="2:3" x14ac:dyDescent="0.25">
      <c r="B7" s="5">
        <v>25</v>
      </c>
      <c r="C7" s="6">
        <v>8.6833333333333336</v>
      </c>
    </row>
    <row r="8" spans="2:3" x14ac:dyDescent="0.25">
      <c r="B8" s="5">
        <v>30</v>
      </c>
      <c r="C8" s="6">
        <v>7.120000000000001</v>
      </c>
    </row>
    <row r="9" spans="2:3" x14ac:dyDescent="0.25">
      <c r="B9" s="5">
        <v>35</v>
      </c>
      <c r="C9" s="6">
        <v>10.056666666666667</v>
      </c>
    </row>
    <row r="10" spans="2:3" x14ac:dyDescent="0.25">
      <c r="B10" s="5">
        <v>40</v>
      </c>
      <c r="C10" s="6">
        <v>12.993333333333334</v>
      </c>
    </row>
    <row r="11" spans="2:3" x14ac:dyDescent="0.25">
      <c r="B11" s="5">
        <v>45</v>
      </c>
      <c r="C11" s="6">
        <v>14.430000000000001</v>
      </c>
    </row>
    <row r="12" spans="2:3" x14ac:dyDescent="0.25">
      <c r="B12" s="5">
        <v>50</v>
      </c>
      <c r="C12" s="6">
        <v>14.366666666666669</v>
      </c>
    </row>
    <row r="23" spans="2:2" x14ac:dyDescent="0.25">
      <c r="B23" s="16" t="s">
        <v>2</v>
      </c>
    </row>
    <row r="25" spans="2:2" x14ac:dyDescent="0.25">
      <c r="B25" s="16" t="s">
        <v>2</v>
      </c>
    </row>
    <row r="26" spans="2:2" x14ac:dyDescent="0.25">
      <c r="B26" s="16" t="s">
        <v>2</v>
      </c>
    </row>
    <row r="28" spans="2:2" x14ac:dyDescent="0.25">
      <c r="B28" s="16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B647-EDA7-4549-AA2F-C068987A4BD4}">
  <dimension ref="A1:O358"/>
  <sheetViews>
    <sheetView tabSelected="1" topLeftCell="A322" workbookViewId="0">
      <selection activeCell="A347" sqref="A347:M347"/>
    </sheetView>
  </sheetViews>
  <sheetFormatPr defaultRowHeight="15" x14ac:dyDescent="0.25"/>
  <cols>
    <col min="1" max="1" width="9.28515625" bestFit="1" customWidth="1"/>
    <col min="2" max="2" width="12.85546875" customWidth="1"/>
    <col min="3" max="5" width="13" customWidth="1"/>
    <col min="6" max="6" width="9.28515625" bestFit="1" customWidth="1"/>
    <col min="7" max="7" width="20.42578125" customWidth="1"/>
    <col min="8" max="8" width="12.7109375" bestFit="1" customWidth="1"/>
    <col min="9" max="9" width="20.140625" customWidth="1"/>
    <col min="10" max="11" width="16.28515625" customWidth="1"/>
    <col min="12" max="13" width="9.28515625" bestFit="1" customWidth="1"/>
  </cols>
  <sheetData>
    <row r="1" spans="1:13" ht="15.75" x14ac:dyDescent="0.25">
      <c r="B1" s="58" t="s">
        <v>3</v>
      </c>
      <c r="C1" s="59"/>
      <c r="D1" s="3"/>
      <c r="E1" s="3"/>
    </row>
    <row r="2" spans="1:13" ht="16.5" thickBot="1" x14ac:dyDescent="0.3">
      <c r="B2" s="60" t="s">
        <v>1</v>
      </c>
      <c r="C2" s="61" t="s">
        <v>0</v>
      </c>
      <c r="D2" s="4"/>
      <c r="E2" s="4"/>
    </row>
    <row r="3" spans="1:13" ht="15.75" x14ac:dyDescent="0.25">
      <c r="B3" s="62">
        <v>5</v>
      </c>
      <c r="C3" s="63">
        <v>2.14</v>
      </c>
      <c r="D3" s="3"/>
      <c r="E3" s="31"/>
      <c r="I3" s="52" t="s">
        <v>43</v>
      </c>
      <c r="J3" s="53"/>
    </row>
    <row r="4" spans="1:13" ht="15.75" x14ac:dyDescent="0.25">
      <c r="B4" s="64">
        <v>10</v>
      </c>
      <c r="C4" s="65">
        <v>3.38</v>
      </c>
      <c r="D4" s="3"/>
      <c r="E4" s="3"/>
      <c r="I4" s="54" t="s">
        <v>1</v>
      </c>
      <c r="J4" s="55" t="s">
        <v>0</v>
      </c>
    </row>
    <row r="5" spans="1:13" ht="16.5" thickBot="1" x14ac:dyDescent="0.3">
      <c r="B5" s="64">
        <v>15</v>
      </c>
      <c r="C5" s="65">
        <v>3.86</v>
      </c>
      <c r="D5" s="3"/>
      <c r="E5" s="3"/>
      <c r="I5" s="56"/>
      <c r="J5" s="57">
        <f>$A$348+$B$348*I5</f>
        <v>0</v>
      </c>
    </row>
    <row r="6" spans="1:13" ht="15.75" x14ac:dyDescent="0.25">
      <c r="B6" s="64">
        <v>20</v>
      </c>
      <c r="C6" s="65">
        <v>4.58</v>
      </c>
      <c r="D6" s="3"/>
      <c r="E6" s="3"/>
      <c r="I6" s="5"/>
      <c r="J6" s="6"/>
    </row>
    <row r="7" spans="1:13" ht="15.75" x14ac:dyDescent="0.25">
      <c r="B7" s="64">
        <v>25</v>
      </c>
      <c r="C7" s="65">
        <v>8.6833333333333336</v>
      </c>
      <c r="D7" s="3"/>
      <c r="E7" s="3"/>
      <c r="J7" s="5"/>
      <c r="K7" s="6"/>
    </row>
    <row r="8" spans="1:13" ht="15.75" x14ac:dyDescent="0.25">
      <c r="B8" s="64">
        <v>30</v>
      </c>
      <c r="C8" s="65">
        <v>8.9600000000000009</v>
      </c>
      <c r="D8" s="3"/>
      <c r="E8" s="3"/>
      <c r="J8" s="5"/>
      <c r="K8" s="6"/>
    </row>
    <row r="9" spans="1:13" ht="15.75" x14ac:dyDescent="0.25">
      <c r="B9" s="64">
        <v>35</v>
      </c>
      <c r="C9" s="65">
        <v>10.056666666666667</v>
      </c>
      <c r="D9" s="3"/>
      <c r="E9" s="3"/>
      <c r="J9" s="5"/>
      <c r="K9" s="6"/>
    </row>
    <row r="10" spans="1:13" ht="15.75" x14ac:dyDescent="0.25">
      <c r="B10" s="64">
        <v>40</v>
      </c>
      <c r="C10" s="65">
        <v>12.993333333333334</v>
      </c>
      <c r="D10" s="3"/>
      <c r="E10" s="3"/>
      <c r="J10" s="5"/>
      <c r="K10" s="6"/>
    </row>
    <row r="11" spans="1:13" ht="15.75" x14ac:dyDescent="0.25">
      <c r="B11" s="64">
        <v>45</v>
      </c>
      <c r="C11" s="65">
        <v>14.430000000000001</v>
      </c>
      <c r="D11" s="3"/>
      <c r="E11" s="3"/>
      <c r="J11" s="5"/>
      <c r="K11" s="6"/>
    </row>
    <row r="12" spans="1:13" ht="16.5" thickBot="1" x14ac:dyDescent="0.3">
      <c r="B12" s="66">
        <v>50</v>
      </c>
      <c r="C12" s="67">
        <v>14.366666666666669</v>
      </c>
      <c r="D12" s="3"/>
      <c r="E12" s="3"/>
      <c r="J12" s="5"/>
      <c r="K12" s="6"/>
    </row>
    <row r="13" spans="1:13" ht="15.75" thickBot="1" x14ac:dyDescent="0.3">
      <c r="B13" s="1"/>
      <c r="C13" s="2"/>
    </row>
    <row r="14" spans="1:13" s="3" customFormat="1" ht="16.5" thickBot="1" x14ac:dyDescent="0.3">
      <c r="A14" s="49" t="s">
        <v>44</v>
      </c>
      <c r="B14" s="50"/>
      <c r="C14" s="51"/>
    </row>
    <row r="15" spans="1:13" s="3" customFormat="1" ht="15.75" x14ac:dyDescent="0.25">
      <c r="F15" s="7"/>
    </row>
    <row r="16" spans="1:13" s="3" customFormat="1" ht="31.5" x14ac:dyDescent="0.25">
      <c r="A16" s="8" t="s">
        <v>5</v>
      </c>
      <c r="B16" s="9" t="s">
        <v>6</v>
      </c>
      <c r="D16" s="8" t="s">
        <v>7</v>
      </c>
      <c r="E16" s="10" t="s">
        <v>8</v>
      </c>
      <c r="F16" s="8" t="s">
        <v>9</v>
      </c>
      <c r="G16" s="8" t="s">
        <v>4</v>
      </c>
      <c r="H16" s="11"/>
      <c r="J16" s="23" t="s">
        <v>49</v>
      </c>
      <c r="K16" s="24"/>
      <c r="L16" s="25" t="s">
        <v>10</v>
      </c>
      <c r="M16" s="26"/>
    </row>
    <row r="17" spans="1:15" s="3" customFormat="1" ht="15.75" x14ac:dyDescent="0.25">
      <c r="A17" s="12" t="s">
        <v>50</v>
      </c>
      <c r="B17" s="12" t="s">
        <v>11</v>
      </c>
      <c r="C17" s="12"/>
      <c r="D17" s="12" t="s">
        <v>12</v>
      </c>
      <c r="E17" s="12" t="s">
        <v>45</v>
      </c>
      <c r="F17" s="12" t="s">
        <v>46</v>
      </c>
      <c r="G17" s="12" t="s">
        <v>13</v>
      </c>
      <c r="H17" s="13" t="s">
        <v>47</v>
      </c>
      <c r="I17" s="14" t="s">
        <v>48</v>
      </c>
      <c r="J17" s="13" t="s">
        <v>51</v>
      </c>
      <c r="K17" s="14" t="s">
        <v>14</v>
      </c>
      <c r="L17" s="15" t="s">
        <v>51</v>
      </c>
      <c r="M17" s="14" t="s">
        <v>14</v>
      </c>
      <c r="O17" s="8"/>
    </row>
    <row r="18" spans="1:15" s="3" customFormat="1" ht="15.75" x14ac:dyDescent="0.25">
      <c r="A18" s="8"/>
      <c r="B18" s="8"/>
      <c r="C18" s="8"/>
      <c r="D18" s="5"/>
      <c r="E18" s="16"/>
      <c r="F18" s="16"/>
      <c r="G18" s="17"/>
      <c r="H18" s="18"/>
      <c r="I18" s="16"/>
      <c r="J18" s="19"/>
      <c r="K18" s="16"/>
      <c r="L18" s="19"/>
      <c r="M18" s="16"/>
    </row>
    <row r="19" spans="1:15" s="3" customFormat="1" ht="15.75" x14ac:dyDescent="0.25">
      <c r="A19" s="8"/>
      <c r="B19" s="8"/>
      <c r="C19" s="8"/>
      <c r="D19" s="5"/>
      <c r="E19" s="16"/>
      <c r="F19" s="16"/>
      <c r="G19" s="17"/>
      <c r="H19" s="18"/>
      <c r="I19" s="16"/>
      <c r="J19" s="19"/>
      <c r="K19" s="16"/>
      <c r="L19" s="19"/>
      <c r="M19" s="16"/>
    </row>
    <row r="20" spans="1:15" s="3" customFormat="1" ht="15.75" x14ac:dyDescent="0.25">
      <c r="A20" s="8"/>
      <c r="B20" s="8"/>
      <c r="C20" s="8"/>
      <c r="D20" s="5"/>
      <c r="E20" s="16"/>
      <c r="F20" s="16"/>
      <c r="G20" s="17"/>
      <c r="H20" s="18"/>
      <c r="I20" s="16"/>
      <c r="J20" s="19"/>
      <c r="K20" s="16"/>
      <c r="L20" s="19"/>
      <c r="M20" s="16"/>
    </row>
    <row r="21" spans="1:15" s="3" customFormat="1" ht="15.75" x14ac:dyDescent="0.25">
      <c r="A21" s="8"/>
      <c r="B21" s="8"/>
      <c r="C21" s="8"/>
      <c r="D21" s="5"/>
      <c r="E21" s="16"/>
      <c r="F21" s="16"/>
      <c r="G21" s="17"/>
      <c r="H21" s="18"/>
      <c r="I21" s="16"/>
      <c r="J21" s="19"/>
      <c r="K21" s="16"/>
      <c r="L21" s="19"/>
      <c r="M21" s="16"/>
    </row>
    <row r="22" spans="1:15" s="3" customFormat="1" ht="15.75" x14ac:dyDescent="0.25">
      <c r="A22" s="8"/>
      <c r="B22" s="8"/>
      <c r="C22" s="8"/>
      <c r="D22" s="5"/>
      <c r="E22" s="16"/>
      <c r="F22" s="16"/>
      <c r="G22" s="17"/>
      <c r="H22" s="18"/>
      <c r="I22" s="16"/>
      <c r="J22" s="19"/>
      <c r="K22" s="16"/>
      <c r="L22" s="19"/>
      <c r="M22" s="16"/>
    </row>
    <row r="23" spans="1:15" s="3" customFormat="1" ht="15.75" x14ac:dyDescent="0.25">
      <c r="A23" s="8"/>
      <c r="B23" s="8"/>
      <c r="C23" s="8"/>
      <c r="D23" s="5"/>
      <c r="E23" s="16"/>
      <c r="F23" s="16"/>
      <c r="G23" s="17"/>
      <c r="H23" s="18"/>
      <c r="I23" s="16"/>
      <c r="J23" s="19"/>
      <c r="K23" s="16"/>
      <c r="L23" s="19"/>
      <c r="M23" s="16"/>
    </row>
    <row r="24" spans="1:15" s="3" customFormat="1" ht="15.75" x14ac:dyDescent="0.25">
      <c r="A24" s="8"/>
      <c r="B24" s="8"/>
      <c r="C24" s="8"/>
      <c r="D24" s="5"/>
      <c r="E24" s="16"/>
      <c r="F24" s="16"/>
      <c r="G24" s="17"/>
      <c r="H24" s="18"/>
      <c r="I24" s="16"/>
      <c r="J24" s="19"/>
      <c r="K24" s="16"/>
      <c r="L24" s="19"/>
      <c r="M24" s="16"/>
    </row>
    <row r="25" spans="1:15" s="3" customFormat="1" ht="15.75" x14ac:dyDescent="0.25">
      <c r="A25" s="8"/>
      <c r="B25" s="8"/>
      <c r="C25" s="8"/>
      <c r="D25" s="5"/>
      <c r="E25" s="16"/>
      <c r="F25" s="16"/>
      <c r="G25" s="17"/>
      <c r="H25" s="18"/>
      <c r="I25" s="16"/>
      <c r="J25" s="19"/>
      <c r="K25" s="16"/>
      <c r="L25" s="19"/>
      <c r="M25" s="16"/>
    </row>
    <row r="26" spans="1:15" s="3" customFormat="1" ht="15.75" x14ac:dyDescent="0.25">
      <c r="A26" s="8"/>
      <c r="B26" s="8"/>
      <c r="C26" s="8"/>
      <c r="D26" s="5"/>
      <c r="E26" s="16"/>
      <c r="F26" s="16"/>
      <c r="G26" s="17"/>
      <c r="H26" s="18"/>
      <c r="I26" s="16"/>
      <c r="J26" s="19"/>
      <c r="K26" s="16"/>
      <c r="L26" s="19"/>
      <c r="M26" s="16"/>
    </row>
    <row r="27" spans="1:15" s="3" customFormat="1" ht="16.5" thickBot="1" x14ac:dyDescent="0.3">
      <c r="A27" s="20"/>
      <c r="B27" s="20"/>
      <c r="D27" s="5"/>
      <c r="E27" s="16"/>
      <c r="F27" s="16"/>
      <c r="G27" s="17"/>
      <c r="H27" s="18"/>
      <c r="I27" s="16"/>
      <c r="J27" s="19"/>
      <c r="K27" s="16"/>
      <c r="L27" s="19"/>
      <c r="M27" s="16"/>
    </row>
    <row r="28" spans="1:15" s="3" customFormat="1" ht="15.75" customHeight="1" thickTop="1" x14ac:dyDescent="0.25">
      <c r="G28" s="21"/>
      <c r="H28" s="11"/>
      <c r="L28" s="22"/>
      <c r="M28" s="22"/>
    </row>
    <row r="30" spans="1:15" x14ac:dyDescent="0.25">
      <c r="A30" s="30" t="s">
        <v>23</v>
      </c>
    </row>
    <row r="31" spans="1:15" ht="31.5" x14ac:dyDescent="0.25">
      <c r="A31" s="8" t="s">
        <v>5</v>
      </c>
      <c r="B31" s="9" t="s">
        <v>6</v>
      </c>
      <c r="C31" s="3"/>
      <c r="D31" s="8" t="s">
        <v>7</v>
      </c>
      <c r="E31" s="10" t="s">
        <v>8</v>
      </c>
      <c r="F31" s="8" t="s">
        <v>9</v>
      </c>
      <c r="G31" s="8" t="s">
        <v>4</v>
      </c>
      <c r="H31" s="11"/>
      <c r="I31" s="3"/>
      <c r="J31" s="23" t="s">
        <v>49</v>
      </c>
      <c r="K31" s="24"/>
      <c r="L31" s="25" t="s">
        <v>10</v>
      </c>
      <c r="M31" s="26"/>
    </row>
    <row r="32" spans="1:15" ht="15.75" x14ac:dyDescent="0.25">
      <c r="A32" s="12" t="s">
        <v>50</v>
      </c>
      <c r="B32" s="12" t="s">
        <v>11</v>
      </c>
      <c r="C32" s="12"/>
      <c r="D32" s="12" t="s">
        <v>12</v>
      </c>
      <c r="E32" s="12" t="s">
        <v>45</v>
      </c>
      <c r="F32" s="12" t="s">
        <v>46</v>
      </c>
      <c r="G32" s="12" t="s">
        <v>13</v>
      </c>
      <c r="H32" s="13" t="s">
        <v>47</v>
      </c>
      <c r="I32" s="14" t="s">
        <v>48</v>
      </c>
      <c r="J32" s="13" t="s">
        <v>51</v>
      </c>
      <c r="K32" s="14" t="s">
        <v>14</v>
      </c>
      <c r="L32" s="15" t="s">
        <v>51</v>
      </c>
      <c r="M32" s="14" t="s">
        <v>14</v>
      </c>
    </row>
    <row r="33" spans="1:13" ht="15.75" x14ac:dyDescent="0.25">
      <c r="A33" s="8"/>
      <c r="B33" s="8"/>
      <c r="C33" s="8"/>
      <c r="D33" s="5">
        <v>5</v>
      </c>
      <c r="E33" s="16">
        <f>$A$33+$B$33*D33</f>
        <v>0</v>
      </c>
      <c r="F33" s="16">
        <f>E33</f>
        <v>0</v>
      </c>
      <c r="G33" s="17">
        <f>($C$3-E33)^2</f>
        <v>4.5796000000000001</v>
      </c>
      <c r="H33" s="18">
        <f>2*(E33-$C$3)</f>
        <v>-4.28</v>
      </c>
      <c r="I33" s="16">
        <f>EXP(E33)/(1 + EXP(E33))^2</f>
        <v>0.25</v>
      </c>
      <c r="J33" s="19">
        <v>1</v>
      </c>
      <c r="K33" s="16">
        <f>D33</f>
        <v>5</v>
      </c>
      <c r="L33" s="19">
        <f>-1*$C$14*H33*I33*J33</f>
        <v>0</v>
      </c>
      <c r="M33" s="16">
        <f>-1*$C$14*H33*I33*K33</f>
        <v>0</v>
      </c>
    </row>
    <row r="34" spans="1:13" ht="15.75" x14ac:dyDescent="0.25">
      <c r="A34" s="8"/>
      <c r="B34" s="8"/>
      <c r="C34" s="8"/>
      <c r="D34" s="5">
        <v>10</v>
      </c>
      <c r="E34" s="16">
        <f t="shared" ref="E34:E42" si="0">$A$33+$B$33*D34</f>
        <v>0</v>
      </c>
      <c r="F34" s="16">
        <f t="shared" ref="F34:F42" si="1">E34</f>
        <v>0</v>
      </c>
      <c r="G34" s="17">
        <f>($C$4-E34)^2</f>
        <v>11.424399999999999</v>
      </c>
      <c r="H34" s="18">
        <f>2*(E34-$C$4)</f>
        <v>-6.76</v>
      </c>
      <c r="I34" s="16">
        <f t="shared" ref="I34:I42" si="2">EXP(E34)/(1 + EXP(E34))^2</f>
        <v>0.25</v>
      </c>
      <c r="J34" s="19">
        <v>1</v>
      </c>
      <c r="K34" s="16">
        <f t="shared" ref="K34:K42" si="3">D34</f>
        <v>10</v>
      </c>
      <c r="L34" s="19">
        <f t="shared" ref="L34:L42" si="4">-1*$C$14*H34*I34*J34</f>
        <v>0</v>
      </c>
      <c r="M34" s="16">
        <f t="shared" ref="M34:M42" si="5">-1*$C$14*H34*I34*K34</f>
        <v>0</v>
      </c>
    </row>
    <row r="35" spans="1:13" ht="15.75" x14ac:dyDescent="0.25">
      <c r="A35" s="8"/>
      <c r="B35" s="8"/>
      <c r="C35" s="8"/>
      <c r="D35" s="5">
        <v>15</v>
      </c>
      <c r="E35" s="16">
        <f t="shared" si="0"/>
        <v>0</v>
      </c>
      <c r="F35" s="16">
        <f t="shared" si="1"/>
        <v>0</v>
      </c>
      <c r="G35" s="17">
        <f>($C$5-E35)^2</f>
        <v>14.8996</v>
      </c>
      <c r="H35" s="18">
        <f>2*(E35-$C$5)</f>
        <v>-7.72</v>
      </c>
      <c r="I35" s="16">
        <f t="shared" si="2"/>
        <v>0.25</v>
      </c>
      <c r="J35" s="19">
        <v>1</v>
      </c>
      <c r="K35" s="16">
        <f t="shared" si="3"/>
        <v>15</v>
      </c>
      <c r="L35" s="19">
        <f t="shared" si="4"/>
        <v>0</v>
      </c>
      <c r="M35" s="16">
        <f t="shared" si="5"/>
        <v>0</v>
      </c>
    </row>
    <row r="36" spans="1:13" ht="15.75" x14ac:dyDescent="0.25">
      <c r="A36" s="8"/>
      <c r="B36" s="8"/>
      <c r="C36" s="8"/>
      <c r="D36" s="5">
        <v>20</v>
      </c>
      <c r="E36" s="16">
        <f t="shared" si="0"/>
        <v>0</v>
      </c>
      <c r="F36" s="16">
        <f t="shared" si="1"/>
        <v>0</v>
      </c>
      <c r="G36" s="17">
        <f>($C$6-E36)^2</f>
        <v>20.976400000000002</v>
      </c>
      <c r="H36" s="18">
        <f>2*(E36-$C$6)</f>
        <v>-9.16</v>
      </c>
      <c r="I36" s="16">
        <f t="shared" si="2"/>
        <v>0.25</v>
      </c>
      <c r="J36" s="19">
        <v>1</v>
      </c>
      <c r="K36" s="16">
        <f t="shared" si="3"/>
        <v>20</v>
      </c>
      <c r="L36" s="19">
        <f t="shared" si="4"/>
        <v>0</v>
      </c>
      <c r="M36" s="16">
        <f t="shared" si="5"/>
        <v>0</v>
      </c>
    </row>
    <row r="37" spans="1:13" ht="15.75" x14ac:dyDescent="0.25">
      <c r="A37" s="8"/>
      <c r="B37" s="8"/>
      <c r="C37" s="8"/>
      <c r="D37" s="5">
        <v>25</v>
      </c>
      <c r="E37" s="16">
        <f t="shared" si="0"/>
        <v>0</v>
      </c>
      <c r="F37" s="16">
        <f t="shared" si="1"/>
        <v>0</v>
      </c>
      <c r="G37" s="17">
        <f>($C$7-E37)^2</f>
        <v>75.400277777777788</v>
      </c>
      <c r="H37" s="18">
        <f>2*(E37-$C$7)</f>
        <v>-17.366666666666667</v>
      </c>
      <c r="I37" s="16">
        <f t="shared" si="2"/>
        <v>0.25</v>
      </c>
      <c r="J37" s="19">
        <v>1</v>
      </c>
      <c r="K37" s="16">
        <f t="shared" si="3"/>
        <v>25</v>
      </c>
      <c r="L37" s="19">
        <f t="shared" si="4"/>
        <v>0</v>
      </c>
      <c r="M37" s="16">
        <f t="shared" si="5"/>
        <v>0</v>
      </c>
    </row>
    <row r="38" spans="1:13" ht="15.75" x14ac:dyDescent="0.25">
      <c r="A38" s="8"/>
      <c r="B38" s="8"/>
      <c r="C38" s="8"/>
      <c r="D38" s="5">
        <v>30</v>
      </c>
      <c r="E38" s="16">
        <f t="shared" si="0"/>
        <v>0</v>
      </c>
      <c r="F38" s="16">
        <f t="shared" si="1"/>
        <v>0</v>
      </c>
      <c r="G38" s="17">
        <f>($C$8-E38)^2</f>
        <v>80.281600000000012</v>
      </c>
      <c r="H38" s="18">
        <f>2*(E38-$C$8)</f>
        <v>-17.920000000000002</v>
      </c>
      <c r="I38" s="16">
        <f t="shared" si="2"/>
        <v>0.25</v>
      </c>
      <c r="J38" s="19">
        <v>1</v>
      </c>
      <c r="K38" s="16">
        <f t="shared" si="3"/>
        <v>30</v>
      </c>
      <c r="L38" s="19">
        <f t="shared" si="4"/>
        <v>0</v>
      </c>
      <c r="M38" s="16">
        <f t="shared" si="5"/>
        <v>0</v>
      </c>
    </row>
    <row r="39" spans="1:13" ht="15.75" x14ac:dyDescent="0.25">
      <c r="A39" s="8"/>
      <c r="B39" s="8"/>
      <c r="C39" s="8"/>
      <c r="D39" s="5">
        <v>35</v>
      </c>
      <c r="E39" s="16">
        <f t="shared" si="0"/>
        <v>0</v>
      </c>
      <c r="F39" s="16">
        <f t="shared" si="1"/>
        <v>0</v>
      </c>
      <c r="G39" s="17">
        <f>($C$9-E39)^2</f>
        <v>101.13654444444444</v>
      </c>
      <c r="H39" s="18">
        <f>2*(E39-$C$9)</f>
        <v>-20.113333333333333</v>
      </c>
      <c r="I39" s="16">
        <f t="shared" si="2"/>
        <v>0.25</v>
      </c>
      <c r="J39" s="19">
        <v>1</v>
      </c>
      <c r="K39" s="16">
        <f t="shared" si="3"/>
        <v>35</v>
      </c>
      <c r="L39" s="19">
        <f t="shared" si="4"/>
        <v>0</v>
      </c>
      <c r="M39" s="16">
        <f t="shared" si="5"/>
        <v>0</v>
      </c>
    </row>
    <row r="40" spans="1:13" ht="15.75" x14ac:dyDescent="0.25">
      <c r="A40" s="8"/>
      <c r="B40" s="8"/>
      <c r="C40" s="8"/>
      <c r="D40" s="5">
        <v>40</v>
      </c>
      <c r="E40" s="16">
        <f t="shared" si="0"/>
        <v>0</v>
      </c>
      <c r="F40" s="16">
        <f t="shared" si="1"/>
        <v>0</v>
      </c>
      <c r="G40" s="17">
        <f>($C$10-E40)^2</f>
        <v>168.82671111111114</v>
      </c>
      <c r="H40" s="18">
        <f>2*(E40-$C$10)</f>
        <v>-25.986666666666668</v>
      </c>
      <c r="I40" s="16">
        <f t="shared" si="2"/>
        <v>0.25</v>
      </c>
      <c r="J40" s="19">
        <v>1</v>
      </c>
      <c r="K40" s="16">
        <f t="shared" si="3"/>
        <v>40</v>
      </c>
      <c r="L40" s="19">
        <f t="shared" si="4"/>
        <v>0</v>
      </c>
      <c r="M40" s="16">
        <f t="shared" si="5"/>
        <v>0</v>
      </c>
    </row>
    <row r="41" spans="1:13" ht="15.75" x14ac:dyDescent="0.25">
      <c r="A41" s="8"/>
      <c r="B41" s="8"/>
      <c r="C41" s="8"/>
      <c r="D41" s="5">
        <v>45</v>
      </c>
      <c r="E41" s="16">
        <f t="shared" si="0"/>
        <v>0</v>
      </c>
      <c r="F41" s="16">
        <f t="shared" si="1"/>
        <v>0</v>
      </c>
      <c r="G41" s="17">
        <f>($C$11-E41)^2</f>
        <v>208.22490000000005</v>
      </c>
      <c r="H41" s="18">
        <f>2*(E41-$C$11)</f>
        <v>-28.860000000000003</v>
      </c>
      <c r="I41" s="16">
        <f t="shared" si="2"/>
        <v>0.25</v>
      </c>
      <c r="J41" s="19">
        <v>1</v>
      </c>
      <c r="K41" s="16">
        <f t="shared" si="3"/>
        <v>45</v>
      </c>
      <c r="L41" s="19">
        <f t="shared" si="4"/>
        <v>0</v>
      </c>
      <c r="M41" s="16">
        <f t="shared" si="5"/>
        <v>0</v>
      </c>
    </row>
    <row r="42" spans="1:13" ht="16.5" thickBot="1" x14ac:dyDescent="0.3">
      <c r="A42" s="20"/>
      <c r="B42" s="20"/>
      <c r="C42" s="3"/>
      <c r="D42" s="5">
        <v>50</v>
      </c>
      <c r="E42" s="16">
        <f t="shared" si="0"/>
        <v>0</v>
      </c>
      <c r="F42" s="16">
        <f t="shared" si="1"/>
        <v>0</v>
      </c>
      <c r="G42" s="17">
        <f>($C$12-E42)^2</f>
        <v>206.40111111111116</v>
      </c>
      <c r="H42" s="18">
        <f>2*(E42-$C$12)</f>
        <v>-28.733333333333338</v>
      </c>
      <c r="I42" s="16">
        <f t="shared" si="2"/>
        <v>0.25</v>
      </c>
      <c r="J42" s="19">
        <v>1</v>
      </c>
      <c r="K42" s="16">
        <f t="shared" si="3"/>
        <v>50</v>
      </c>
      <c r="L42" s="19">
        <f t="shared" si="4"/>
        <v>0</v>
      </c>
      <c r="M42" s="16">
        <f t="shared" si="5"/>
        <v>0</v>
      </c>
    </row>
    <row r="43" spans="1:13" ht="16.5" thickTop="1" x14ac:dyDescent="0.25">
      <c r="A43" s="3"/>
      <c r="B43" s="3"/>
      <c r="C43" s="3"/>
      <c r="D43" s="3"/>
      <c r="E43" s="3"/>
      <c r="F43" s="3"/>
      <c r="G43" s="21">
        <f>SUM(G33:G42)</f>
        <v>892.15114444444464</v>
      </c>
      <c r="H43" s="11"/>
      <c r="I43" s="3"/>
      <c r="J43" s="3"/>
      <c r="K43" s="3"/>
      <c r="L43" s="22">
        <f>AVERAGE(L33:L42)</f>
        <v>0</v>
      </c>
      <c r="M43" s="22">
        <f>AVERAGE(M33:M42)</f>
        <v>0</v>
      </c>
    </row>
    <row r="45" spans="1:13" x14ac:dyDescent="0.25">
      <c r="A45" s="30" t="s">
        <v>24</v>
      </c>
    </row>
    <row r="46" spans="1:13" ht="31.5" x14ac:dyDescent="0.25">
      <c r="A46" s="8" t="s">
        <v>5</v>
      </c>
      <c r="B46" s="9" t="s">
        <v>6</v>
      </c>
      <c r="C46" s="3"/>
      <c r="D46" s="8" t="s">
        <v>7</v>
      </c>
      <c r="E46" s="10" t="s">
        <v>8</v>
      </c>
      <c r="F46" s="8" t="s">
        <v>9</v>
      </c>
      <c r="G46" s="8" t="s">
        <v>4</v>
      </c>
      <c r="H46" s="11"/>
      <c r="I46" s="3"/>
      <c r="J46" s="23" t="s">
        <v>49</v>
      </c>
      <c r="K46" s="24"/>
      <c r="L46" s="25" t="s">
        <v>10</v>
      </c>
      <c r="M46" s="26"/>
    </row>
    <row r="47" spans="1:13" ht="15.75" x14ac:dyDescent="0.25">
      <c r="A47" s="12" t="s">
        <v>50</v>
      </c>
      <c r="B47" s="12" t="s">
        <v>11</v>
      </c>
      <c r="C47" s="12"/>
      <c r="D47" s="12" t="s">
        <v>12</v>
      </c>
      <c r="E47" s="12" t="s">
        <v>45</v>
      </c>
      <c r="F47" s="12" t="s">
        <v>46</v>
      </c>
      <c r="G47" s="12" t="s">
        <v>13</v>
      </c>
      <c r="H47" s="13" t="s">
        <v>47</v>
      </c>
      <c r="I47" s="14" t="s">
        <v>48</v>
      </c>
      <c r="J47" s="13" t="s">
        <v>51</v>
      </c>
      <c r="K47" s="14" t="s">
        <v>14</v>
      </c>
      <c r="L47" s="15" t="s">
        <v>51</v>
      </c>
      <c r="M47" s="14" t="s">
        <v>14</v>
      </c>
    </row>
    <row r="48" spans="1:13" ht="15.75" x14ac:dyDescent="0.25">
      <c r="A48" s="8">
        <f>A33+L43</f>
        <v>0</v>
      </c>
      <c r="B48" s="8">
        <f>B33+M43</f>
        <v>0</v>
      </c>
      <c r="C48" s="8"/>
      <c r="D48" s="5">
        <v>5</v>
      </c>
      <c r="E48" s="16">
        <f>$A$48+$B$48*D48</f>
        <v>0</v>
      </c>
      <c r="F48" s="16">
        <f>E48</f>
        <v>0</v>
      </c>
      <c r="G48" s="17">
        <f>($C$3-E48)^2</f>
        <v>4.5796000000000001</v>
      </c>
      <c r="H48" s="18">
        <f>2*(E48-$C$3)</f>
        <v>-4.28</v>
      </c>
      <c r="I48" s="16">
        <f>EXP(E48)/(1 + EXP(E48))^2</f>
        <v>0.25</v>
      </c>
      <c r="J48" s="19">
        <v>1</v>
      </c>
      <c r="K48" s="16">
        <f>D48</f>
        <v>5</v>
      </c>
      <c r="L48" s="19">
        <f>-1*$C$14*H48*I48*J48</f>
        <v>0</v>
      </c>
      <c r="M48" s="16">
        <f>-1*$C$14*H48*I48*K48</f>
        <v>0</v>
      </c>
    </row>
    <row r="49" spans="1:13" ht="15.75" x14ac:dyDescent="0.25">
      <c r="A49" s="8"/>
      <c r="B49" s="8"/>
      <c r="C49" s="8"/>
      <c r="D49" s="5">
        <v>10</v>
      </c>
      <c r="E49" s="16">
        <f>$A$48+$B$48*D49</f>
        <v>0</v>
      </c>
      <c r="F49" s="16">
        <f t="shared" ref="F49:F57" si="6">E49</f>
        <v>0</v>
      </c>
      <c r="G49" s="17">
        <f>($C$4-E49)^2</f>
        <v>11.424399999999999</v>
      </c>
      <c r="H49" s="18">
        <f>2*(E49-$C$4)</f>
        <v>-6.76</v>
      </c>
      <c r="I49" s="16">
        <f t="shared" ref="I49:I57" si="7">EXP(E49)/(1 + EXP(E49))^2</f>
        <v>0.25</v>
      </c>
      <c r="J49" s="19">
        <v>1</v>
      </c>
      <c r="K49" s="16">
        <f t="shared" ref="K49:K57" si="8">D49</f>
        <v>10</v>
      </c>
      <c r="L49" s="19">
        <f>-1*$C$14*H49*I49*J49</f>
        <v>0</v>
      </c>
      <c r="M49" s="16">
        <f t="shared" ref="M49:M57" si="9">-1*$C$14*H49*I49*K49</f>
        <v>0</v>
      </c>
    </row>
    <row r="50" spans="1:13" ht="15.75" x14ac:dyDescent="0.25">
      <c r="A50" s="8"/>
      <c r="B50" s="8"/>
      <c r="C50" s="8"/>
      <c r="D50" s="5">
        <v>15</v>
      </c>
      <c r="E50" s="16">
        <f>$A$48+$B$48*D50</f>
        <v>0</v>
      </c>
      <c r="F50" s="16">
        <f t="shared" si="6"/>
        <v>0</v>
      </c>
      <c r="G50" s="17">
        <f>($C$5-E50)^2</f>
        <v>14.8996</v>
      </c>
      <c r="H50" s="18">
        <f>2*(E50-$C$5)</f>
        <v>-7.72</v>
      </c>
      <c r="I50" s="16">
        <f t="shared" si="7"/>
        <v>0.25</v>
      </c>
      <c r="J50" s="19">
        <v>1</v>
      </c>
      <c r="K50" s="16">
        <f t="shared" si="8"/>
        <v>15</v>
      </c>
      <c r="L50" s="19">
        <f t="shared" ref="L49:L57" si="10">-1*$C$14*H50*I50*J50</f>
        <v>0</v>
      </c>
      <c r="M50" s="16">
        <f t="shared" si="9"/>
        <v>0</v>
      </c>
    </row>
    <row r="51" spans="1:13" ht="15.75" x14ac:dyDescent="0.25">
      <c r="A51" s="8"/>
      <c r="B51" s="8"/>
      <c r="C51" s="8"/>
      <c r="D51" s="5">
        <v>20</v>
      </c>
      <c r="E51" s="16">
        <f t="shared" ref="E49:E57" si="11">$A$48+$B$48*D51</f>
        <v>0</v>
      </c>
      <c r="F51" s="16">
        <f t="shared" si="6"/>
        <v>0</v>
      </c>
      <c r="G51" s="17">
        <f>($C$6-E51)^2</f>
        <v>20.976400000000002</v>
      </c>
      <c r="H51" s="18">
        <f>2*(E51-$C$6)</f>
        <v>-9.16</v>
      </c>
      <c r="I51" s="16">
        <f t="shared" si="7"/>
        <v>0.25</v>
      </c>
      <c r="J51" s="19">
        <v>1</v>
      </c>
      <c r="K51" s="16">
        <f t="shared" si="8"/>
        <v>20</v>
      </c>
      <c r="L51" s="19">
        <f t="shared" si="10"/>
        <v>0</v>
      </c>
      <c r="M51" s="16">
        <f t="shared" si="9"/>
        <v>0</v>
      </c>
    </row>
    <row r="52" spans="1:13" ht="15.75" x14ac:dyDescent="0.25">
      <c r="A52" s="8"/>
      <c r="B52" s="8"/>
      <c r="C52" s="8"/>
      <c r="D52" s="5">
        <v>25</v>
      </c>
      <c r="E52" s="16">
        <f t="shared" si="11"/>
        <v>0</v>
      </c>
      <c r="F52" s="16">
        <f t="shared" si="6"/>
        <v>0</v>
      </c>
      <c r="G52" s="17">
        <f>($C$7-E52)^2</f>
        <v>75.400277777777788</v>
      </c>
      <c r="H52" s="18">
        <f>2*(E52-$C$7)</f>
        <v>-17.366666666666667</v>
      </c>
      <c r="I52" s="16">
        <f t="shared" si="7"/>
        <v>0.25</v>
      </c>
      <c r="J52" s="19">
        <v>1</v>
      </c>
      <c r="K52" s="16">
        <f t="shared" si="8"/>
        <v>25</v>
      </c>
      <c r="L52" s="19">
        <f t="shared" si="10"/>
        <v>0</v>
      </c>
      <c r="M52" s="16">
        <f t="shared" si="9"/>
        <v>0</v>
      </c>
    </row>
    <row r="53" spans="1:13" ht="15.75" x14ac:dyDescent="0.25">
      <c r="A53" s="8"/>
      <c r="B53" s="8"/>
      <c r="C53" s="8"/>
      <c r="D53" s="5">
        <v>30</v>
      </c>
      <c r="E53" s="16">
        <f t="shared" si="11"/>
        <v>0</v>
      </c>
      <c r="F53" s="16">
        <f t="shared" si="6"/>
        <v>0</v>
      </c>
      <c r="G53" s="17">
        <f>($C$8-E53)^2</f>
        <v>80.281600000000012</v>
      </c>
      <c r="H53" s="18">
        <f>2*(E53-$C$8)</f>
        <v>-17.920000000000002</v>
      </c>
      <c r="I53" s="16">
        <f t="shared" si="7"/>
        <v>0.25</v>
      </c>
      <c r="J53" s="19">
        <v>1</v>
      </c>
      <c r="K53" s="16">
        <f t="shared" si="8"/>
        <v>30</v>
      </c>
      <c r="L53" s="19">
        <f t="shared" si="10"/>
        <v>0</v>
      </c>
      <c r="M53" s="16">
        <f t="shared" si="9"/>
        <v>0</v>
      </c>
    </row>
    <row r="54" spans="1:13" ht="15.75" x14ac:dyDescent="0.25">
      <c r="A54" s="8"/>
      <c r="B54" s="8"/>
      <c r="C54" s="8"/>
      <c r="D54" s="5">
        <v>35</v>
      </c>
      <c r="E54" s="16">
        <f t="shared" si="11"/>
        <v>0</v>
      </c>
      <c r="F54" s="16">
        <f t="shared" si="6"/>
        <v>0</v>
      </c>
      <c r="G54" s="17">
        <f>($C$9-E54)^2</f>
        <v>101.13654444444444</v>
      </c>
      <c r="H54" s="18">
        <f>2*(E54-$C$9)</f>
        <v>-20.113333333333333</v>
      </c>
      <c r="I54" s="16">
        <f t="shared" si="7"/>
        <v>0.25</v>
      </c>
      <c r="J54" s="19">
        <v>1</v>
      </c>
      <c r="K54" s="16">
        <f t="shared" si="8"/>
        <v>35</v>
      </c>
      <c r="L54" s="19">
        <f t="shared" si="10"/>
        <v>0</v>
      </c>
      <c r="M54" s="16">
        <f t="shared" si="9"/>
        <v>0</v>
      </c>
    </row>
    <row r="55" spans="1:13" ht="15.75" x14ac:dyDescent="0.25">
      <c r="A55" s="8"/>
      <c r="B55" s="8"/>
      <c r="C55" s="8"/>
      <c r="D55" s="5">
        <v>40</v>
      </c>
      <c r="E55" s="16">
        <f t="shared" si="11"/>
        <v>0</v>
      </c>
      <c r="F55" s="16">
        <f t="shared" si="6"/>
        <v>0</v>
      </c>
      <c r="G55" s="17">
        <f>($C$10-E55)^2</f>
        <v>168.82671111111114</v>
      </c>
      <c r="H55" s="18">
        <f>2*(E55-$C$10)</f>
        <v>-25.986666666666668</v>
      </c>
      <c r="I55" s="16">
        <f t="shared" si="7"/>
        <v>0.25</v>
      </c>
      <c r="J55" s="19">
        <v>1</v>
      </c>
      <c r="K55" s="16">
        <f t="shared" si="8"/>
        <v>40</v>
      </c>
      <c r="L55" s="19">
        <f t="shared" si="10"/>
        <v>0</v>
      </c>
      <c r="M55" s="16">
        <f t="shared" si="9"/>
        <v>0</v>
      </c>
    </row>
    <row r="56" spans="1:13" ht="15.75" x14ac:dyDescent="0.25">
      <c r="A56" s="8"/>
      <c r="B56" s="8"/>
      <c r="C56" s="8"/>
      <c r="D56" s="5">
        <v>45</v>
      </c>
      <c r="E56" s="16">
        <f t="shared" si="11"/>
        <v>0</v>
      </c>
      <c r="F56" s="16">
        <f t="shared" si="6"/>
        <v>0</v>
      </c>
      <c r="G56" s="17">
        <f>($C$11-E56)^2</f>
        <v>208.22490000000005</v>
      </c>
      <c r="H56" s="18">
        <f>2*(E56-$C$11)</f>
        <v>-28.860000000000003</v>
      </c>
      <c r="I56" s="16">
        <f t="shared" si="7"/>
        <v>0.25</v>
      </c>
      <c r="J56" s="19">
        <v>1</v>
      </c>
      <c r="K56" s="16">
        <f t="shared" si="8"/>
        <v>45</v>
      </c>
      <c r="L56" s="19">
        <f t="shared" si="10"/>
        <v>0</v>
      </c>
      <c r="M56" s="16">
        <f t="shared" si="9"/>
        <v>0</v>
      </c>
    </row>
    <row r="57" spans="1:13" ht="16.5" thickBot="1" x14ac:dyDescent="0.3">
      <c r="A57" s="20"/>
      <c r="B57" s="20"/>
      <c r="C57" s="3"/>
      <c r="D57" s="5">
        <v>50</v>
      </c>
      <c r="E57" s="16">
        <f t="shared" si="11"/>
        <v>0</v>
      </c>
      <c r="F57" s="16">
        <f t="shared" si="6"/>
        <v>0</v>
      </c>
      <c r="G57" s="17">
        <f>($C$12-E57)^2</f>
        <v>206.40111111111116</v>
      </c>
      <c r="H57" s="18">
        <f>2*(E57-$C$12)</f>
        <v>-28.733333333333338</v>
      </c>
      <c r="I57" s="16">
        <f t="shared" si="7"/>
        <v>0.25</v>
      </c>
      <c r="J57" s="19">
        <v>1</v>
      </c>
      <c r="K57" s="16">
        <f t="shared" si="8"/>
        <v>50</v>
      </c>
      <c r="L57" s="19">
        <f t="shared" si="10"/>
        <v>0</v>
      </c>
      <c r="M57" s="16">
        <f t="shared" si="9"/>
        <v>0</v>
      </c>
    </row>
    <row r="58" spans="1:13" ht="16.5" thickTop="1" x14ac:dyDescent="0.25">
      <c r="A58" s="3"/>
      <c r="B58" s="3"/>
      <c r="C58" s="3"/>
      <c r="D58" s="3"/>
      <c r="E58" s="3"/>
      <c r="F58" s="3"/>
      <c r="G58" s="21">
        <f>SUM(G48:G57)</f>
        <v>892.15114444444464</v>
      </c>
      <c r="H58" s="11"/>
      <c r="I58" s="3"/>
      <c r="J58" s="3"/>
      <c r="K58" s="3"/>
      <c r="L58" s="22">
        <f>AVERAGE(L48:L57)</f>
        <v>0</v>
      </c>
      <c r="M58" s="22">
        <f>AVERAGE(M48:M57)</f>
        <v>0</v>
      </c>
    </row>
    <row r="60" spans="1:13" x14ac:dyDescent="0.25">
      <c r="A60" s="30" t="s">
        <v>25</v>
      </c>
    </row>
    <row r="61" spans="1:13" ht="31.5" x14ac:dyDescent="0.25">
      <c r="A61" s="8" t="s">
        <v>5</v>
      </c>
      <c r="B61" s="9" t="s">
        <v>6</v>
      </c>
      <c r="C61" s="3"/>
      <c r="D61" s="8" t="s">
        <v>7</v>
      </c>
      <c r="E61" s="10" t="s">
        <v>8</v>
      </c>
      <c r="F61" s="8" t="s">
        <v>9</v>
      </c>
      <c r="G61" s="8" t="s">
        <v>4</v>
      </c>
      <c r="H61" s="11"/>
      <c r="I61" s="3"/>
      <c r="J61" s="23" t="s">
        <v>49</v>
      </c>
      <c r="K61" s="24"/>
      <c r="L61" s="25" t="s">
        <v>10</v>
      </c>
      <c r="M61" s="26"/>
    </row>
    <row r="62" spans="1:13" ht="15.75" x14ac:dyDescent="0.25">
      <c r="A62" s="12" t="s">
        <v>50</v>
      </c>
      <c r="B62" s="12" t="s">
        <v>11</v>
      </c>
      <c r="C62" s="12"/>
      <c r="D62" s="12" t="s">
        <v>12</v>
      </c>
      <c r="E62" s="12" t="s">
        <v>45</v>
      </c>
      <c r="F62" s="12" t="s">
        <v>46</v>
      </c>
      <c r="G62" s="12" t="s">
        <v>13</v>
      </c>
      <c r="H62" s="13" t="s">
        <v>47</v>
      </c>
      <c r="I62" s="14" t="s">
        <v>48</v>
      </c>
      <c r="J62" s="13" t="s">
        <v>51</v>
      </c>
      <c r="K62" s="14" t="s">
        <v>14</v>
      </c>
      <c r="L62" s="15" t="s">
        <v>51</v>
      </c>
      <c r="M62" s="14" t="s">
        <v>14</v>
      </c>
    </row>
    <row r="63" spans="1:13" ht="15.75" x14ac:dyDescent="0.25">
      <c r="A63" s="8">
        <f>A48+L58</f>
        <v>0</v>
      </c>
      <c r="B63" s="8">
        <f>B48+M58</f>
        <v>0</v>
      </c>
      <c r="C63" s="8"/>
      <c r="D63" s="5">
        <v>5</v>
      </c>
      <c r="E63" s="16">
        <f>$A$63+$B$63*D63</f>
        <v>0</v>
      </c>
      <c r="F63" s="16">
        <f>E63</f>
        <v>0</v>
      </c>
      <c r="G63" s="17">
        <f>($C$3-E63)^2</f>
        <v>4.5796000000000001</v>
      </c>
      <c r="H63" s="18">
        <f>2*(E63-$C$3)</f>
        <v>-4.28</v>
      </c>
      <c r="I63" s="16">
        <f>EXP(E63)/(1 + EXP(E63))^2</f>
        <v>0.25</v>
      </c>
      <c r="J63" s="19">
        <v>1</v>
      </c>
      <c r="K63" s="16">
        <f>D63</f>
        <v>5</v>
      </c>
      <c r="L63" s="19">
        <f>-1*$C$14*H63*I63*J63</f>
        <v>0</v>
      </c>
      <c r="M63" s="16">
        <f>-1*$C$14*H63*I63*K63</f>
        <v>0</v>
      </c>
    </row>
    <row r="64" spans="1:13" ht="15.75" x14ac:dyDescent="0.25">
      <c r="A64" s="8"/>
      <c r="B64" s="8"/>
      <c r="C64" s="8"/>
      <c r="D64" s="5">
        <v>10</v>
      </c>
      <c r="E64" s="16">
        <f t="shared" ref="E64:E72" si="12">$A$63+$B$63*D64</f>
        <v>0</v>
      </c>
      <c r="F64" s="16">
        <f t="shared" ref="F64:F72" si="13">E64</f>
        <v>0</v>
      </c>
      <c r="G64" s="17">
        <f>($C$4-E64)^2</f>
        <v>11.424399999999999</v>
      </c>
      <c r="H64" s="18">
        <f>2*(E64-$C$4)</f>
        <v>-6.76</v>
      </c>
      <c r="I64" s="16">
        <f t="shared" ref="I64:I72" si="14">EXP(E64)/(1 + EXP(E64))^2</f>
        <v>0.25</v>
      </c>
      <c r="J64" s="19">
        <v>1</v>
      </c>
      <c r="K64" s="16">
        <f t="shared" ref="K64:K72" si="15">D64</f>
        <v>10</v>
      </c>
      <c r="L64" s="19">
        <f t="shared" ref="L64:L72" si="16">-1*$C$14*H64*I64*J64</f>
        <v>0</v>
      </c>
      <c r="M64" s="16">
        <f t="shared" ref="M64:M72" si="17">-1*$C$14*H64*I64*K64</f>
        <v>0</v>
      </c>
    </row>
    <row r="65" spans="1:13" ht="15.75" x14ac:dyDescent="0.25">
      <c r="A65" s="8"/>
      <c r="B65" s="8"/>
      <c r="C65" s="8"/>
      <c r="D65" s="5">
        <v>15</v>
      </c>
      <c r="E65" s="16">
        <f>$A$63+$B$63*D65</f>
        <v>0</v>
      </c>
      <c r="F65" s="16">
        <f t="shared" si="13"/>
        <v>0</v>
      </c>
      <c r="G65" s="17">
        <f>($C$5-E65)^2</f>
        <v>14.8996</v>
      </c>
      <c r="H65" s="18">
        <f>2*(E65-$C$5)</f>
        <v>-7.72</v>
      </c>
      <c r="I65" s="16">
        <f t="shared" si="14"/>
        <v>0.25</v>
      </c>
      <c r="J65" s="19">
        <v>1</v>
      </c>
      <c r="K65" s="16">
        <f t="shared" si="15"/>
        <v>15</v>
      </c>
      <c r="L65" s="19">
        <f t="shared" si="16"/>
        <v>0</v>
      </c>
      <c r="M65" s="16">
        <f t="shared" si="17"/>
        <v>0</v>
      </c>
    </row>
    <row r="66" spans="1:13" ht="15.75" x14ac:dyDescent="0.25">
      <c r="A66" s="8"/>
      <c r="B66" s="8"/>
      <c r="C66" s="8"/>
      <c r="D66" s="5">
        <v>20</v>
      </c>
      <c r="E66" s="16">
        <f t="shared" si="12"/>
        <v>0</v>
      </c>
      <c r="F66" s="16">
        <f t="shared" si="13"/>
        <v>0</v>
      </c>
      <c r="G66" s="17">
        <f>($C$6-E66)^2</f>
        <v>20.976400000000002</v>
      </c>
      <c r="H66" s="18">
        <f>2*(E66-$C$6)</f>
        <v>-9.16</v>
      </c>
      <c r="I66" s="16">
        <f t="shared" si="14"/>
        <v>0.25</v>
      </c>
      <c r="J66" s="19">
        <v>1</v>
      </c>
      <c r="K66" s="16">
        <f t="shared" si="15"/>
        <v>20</v>
      </c>
      <c r="L66" s="19">
        <f t="shared" si="16"/>
        <v>0</v>
      </c>
      <c r="M66" s="16">
        <f t="shared" si="17"/>
        <v>0</v>
      </c>
    </row>
    <row r="67" spans="1:13" ht="15.75" x14ac:dyDescent="0.25">
      <c r="A67" s="8"/>
      <c r="B67" s="8"/>
      <c r="C67" s="8"/>
      <c r="D67" s="5">
        <v>25</v>
      </c>
      <c r="E67" s="16">
        <f t="shared" si="12"/>
        <v>0</v>
      </c>
      <c r="F67" s="16">
        <f t="shared" si="13"/>
        <v>0</v>
      </c>
      <c r="G67" s="17">
        <f>($C$7-E67)^2</f>
        <v>75.400277777777788</v>
      </c>
      <c r="H67" s="18">
        <f>2*(E67-$C$7)</f>
        <v>-17.366666666666667</v>
      </c>
      <c r="I67" s="16">
        <f t="shared" si="14"/>
        <v>0.25</v>
      </c>
      <c r="J67" s="19">
        <v>1</v>
      </c>
      <c r="K67" s="16">
        <f t="shared" si="15"/>
        <v>25</v>
      </c>
      <c r="L67" s="19">
        <f t="shared" si="16"/>
        <v>0</v>
      </c>
      <c r="M67" s="16">
        <f t="shared" si="17"/>
        <v>0</v>
      </c>
    </row>
    <row r="68" spans="1:13" ht="15.75" x14ac:dyDescent="0.25">
      <c r="A68" s="8"/>
      <c r="B68" s="8"/>
      <c r="C68" s="8"/>
      <c r="D68" s="5">
        <v>30</v>
      </c>
      <c r="E68" s="16">
        <f t="shared" si="12"/>
        <v>0</v>
      </c>
      <c r="F68" s="16">
        <f t="shared" si="13"/>
        <v>0</v>
      </c>
      <c r="G68" s="17">
        <f>($C$8-E68)^2</f>
        <v>80.281600000000012</v>
      </c>
      <c r="H68" s="18">
        <f>2*(E68-$C$8)</f>
        <v>-17.920000000000002</v>
      </c>
      <c r="I68" s="16">
        <f t="shared" si="14"/>
        <v>0.25</v>
      </c>
      <c r="J68" s="19">
        <v>1</v>
      </c>
      <c r="K68" s="16">
        <f t="shared" si="15"/>
        <v>30</v>
      </c>
      <c r="L68" s="19">
        <f t="shared" si="16"/>
        <v>0</v>
      </c>
      <c r="M68" s="16">
        <f t="shared" si="17"/>
        <v>0</v>
      </c>
    </row>
    <row r="69" spans="1:13" ht="15.75" x14ac:dyDescent="0.25">
      <c r="A69" s="8"/>
      <c r="B69" s="8"/>
      <c r="C69" s="8"/>
      <c r="D69" s="5">
        <v>35</v>
      </c>
      <c r="E69" s="16">
        <f t="shared" si="12"/>
        <v>0</v>
      </c>
      <c r="F69" s="16">
        <f t="shared" si="13"/>
        <v>0</v>
      </c>
      <c r="G69" s="17">
        <f>($C$9-E69)^2</f>
        <v>101.13654444444444</v>
      </c>
      <c r="H69" s="18">
        <f>2*(E69-$C$9)</f>
        <v>-20.113333333333333</v>
      </c>
      <c r="I69" s="16">
        <f t="shared" si="14"/>
        <v>0.25</v>
      </c>
      <c r="J69" s="19">
        <v>1</v>
      </c>
      <c r="K69" s="16">
        <f t="shared" si="15"/>
        <v>35</v>
      </c>
      <c r="L69" s="19">
        <f t="shared" si="16"/>
        <v>0</v>
      </c>
      <c r="M69" s="16">
        <f t="shared" si="17"/>
        <v>0</v>
      </c>
    </row>
    <row r="70" spans="1:13" ht="15.75" x14ac:dyDescent="0.25">
      <c r="A70" s="8"/>
      <c r="B70" s="8"/>
      <c r="C70" s="8"/>
      <c r="D70" s="5">
        <v>40</v>
      </c>
      <c r="E70" s="16">
        <f t="shared" si="12"/>
        <v>0</v>
      </c>
      <c r="F70" s="16">
        <f t="shared" si="13"/>
        <v>0</v>
      </c>
      <c r="G70" s="17">
        <f>($C$10-E70)^2</f>
        <v>168.82671111111114</v>
      </c>
      <c r="H70" s="18">
        <f>2*(E70-$C$10)</f>
        <v>-25.986666666666668</v>
      </c>
      <c r="I70" s="16">
        <f t="shared" si="14"/>
        <v>0.25</v>
      </c>
      <c r="J70" s="19">
        <v>1</v>
      </c>
      <c r="K70" s="16">
        <f t="shared" si="15"/>
        <v>40</v>
      </c>
      <c r="L70" s="19">
        <f t="shared" si="16"/>
        <v>0</v>
      </c>
      <c r="M70" s="16">
        <f t="shared" si="17"/>
        <v>0</v>
      </c>
    </row>
    <row r="71" spans="1:13" ht="15.75" x14ac:dyDescent="0.25">
      <c r="A71" s="8"/>
      <c r="B71" s="8"/>
      <c r="C71" s="8"/>
      <c r="D71" s="5">
        <v>45</v>
      </c>
      <c r="E71" s="16">
        <f t="shared" si="12"/>
        <v>0</v>
      </c>
      <c r="F71" s="16">
        <f t="shared" si="13"/>
        <v>0</v>
      </c>
      <c r="G71" s="17">
        <f>($C$11-E71)^2</f>
        <v>208.22490000000005</v>
      </c>
      <c r="H71" s="18">
        <f>2*(E71-$C$11)</f>
        <v>-28.860000000000003</v>
      </c>
      <c r="I71" s="16">
        <f t="shared" si="14"/>
        <v>0.25</v>
      </c>
      <c r="J71" s="19">
        <v>1</v>
      </c>
      <c r="K71" s="16">
        <f t="shared" si="15"/>
        <v>45</v>
      </c>
      <c r="L71" s="19">
        <f t="shared" si="16"/>
        <v>0</v>
      </c>
      <c r="M71" s="16">
        <f t="shared" si="17"/>
        <v>0</v>
      </c>
    </row>
    <row r="72" spans="1:13" ht="16.5" thickBot="1" x14ac:dyDescent="0.3">
      <c r="A72" s="20"/>
      <c r="B72" s="20"/>
      <c r="C72" s="3"/>
      <c r="D72" s="5">
        <v>50</v>
      </c>
      <c r="E72" s="16">
        <f t="shared" si="12"/>
        <v>0</v>
      </c>
      <c r="F72" s="16">
        <f t="shared" si="13"/>
        <v>0</v>
      </c>
      <c r="G72" s="17">
        <f>($C$12-E72)^2</f>
        <v>206.40111111111116</v>
      </c>
      <c r="H72" s="18">
        <f>2*(E72-$C$12)</f>
        <v>-28.733333333333338</v>
      </c>
      <c r="I72" s="16">
        <f t="shared" si="14"/>
        <v>0.25</v>
      </c>
      <c r="J72" s="19">
        <v>1</v>
      </c>
      <c r="K72" s="16">
        <f t="shared" si="15"/>
        <v>50</v>
      </c>
      <c r="L72" s="19">
        <f t="shared" si="16"/>
        <v>0</v>
      </c>
      <c r="M72" s="16">
        <f t="shared" si="17"/>
        <v>0</v>
      </c>
    </row>
    <row r="73" spans="1:13" ht="16.5" thickTop="1" x14ac:dyDescent="0.25">
      <c r="A73" s="3"/>
      <c r="B73" s="3"/>
      <c r="C73" s="3"/>
      <c r="D73" s="3"/>
      <c r="E73" s="3"/>
      <c r="F73" s="3"/>
      <c r="G73" s="21">
        <f>SUM(G63:G72)</f>
        <v>892.15114444444464</v>
      </c>
      <c r="H73" s="11"/>
      <c r="I73" s="3"/>
      <c r="J73" s="3"/>
      <c r="K73" s="3"/>
      <c r="L73" s="22">
        <f>AVERAGE(L63:L72)</f>
        <v>0</v>
      </c>
      <c r="M73" s="22">
        <f>AVERAGE(M63:M72)</f>
        <v>0</v>
      </c>
    </row>
    <row r="75" spans="1:13" x14ac:dyDescent="0.25">
      <c r="A75" s="30" t="s">
        <v>26</v>
      </c>
    </row>
    <row r="76" spans="1:13" ht="31.5" x14ac:dyDescent="0.25">
      <c r="A76" s="8" t="s">
        <v>5</v>
      </c>
      <c r="B76" s="9" t="s">
        <v>6</v>
      </c>
      <c r="C76" s="3"/>
      <c r="D76" s="8" t="s">
        <v>7</v>
      </c>
      <c r="E76" s="10" t="s">
        <v>8</v>
      </c>
      <c r="F76" s="8" t="s">
        <v>9</v>
      </c>
      <c r="G76" s="8" t="s">
        <v>4</v>
      </c>
      <c r="H76" s="11"/>
      <c r="I76" s="3"/>
      <c r="J76" s="23" t="s">
        <v>49</v>
      </c>
      <c r="K76" s="24"/>
      <c r="L76" s="25" t="s">
        <v>10</v>
      </c>
      <c r="M76" s="26"/>
    </row>
    <row r="77" spans="1:13" ht="15.75" x14ac:dyDescent="0.25">
      <c r="A77" s="12" t="s">
        <v>50</v>
      </c>
      <c r="B77" s="12" t="s">
        <v>11</v>
      </c>
      <c r="C77" s="12"/>
      <c r="D77" s="12" t="s">
        <v>12</v>
      </c>
      <c r="E77" s="12" t="s">
        <v>45</v>
      </c>
      <c r="F77" s="12" t="s">
        <v>46</v>
      </c>
      <c r="G77" s="12" t="s">
        <v>13</v>
      </c>
      <c r="H77" s="13" t="s">
        <v>47</v>
      </c>
      <c r="I77" s="14" t="s">
        <v>48</v>
      </c>
      <c r="J77" s="13" t="s">
        <v>51</v>
      </c>
      <c r="K77" s="14" t="s">
        <v>14</v>
      </c>
      <c r="L77" s="15" t="s">
        <v>51</v>
      </c>
      <c r="M77" s="14" t="s">
        <v>14</v>
      </c>
    </row>
    <row r="78" spans="1:13" ht="15.75" x14ac:dyDescent="0.25">
      <c r="A78" s="8">
        <f>A63+L73</f>
        <v>0</v>
      </c>
      <c r="B78" s="8">
        <f>B63+M73</f>
        <v>0</v>
      </c>
      <c r="C78" s="8"/>
      <c r="D78" s="5">
        <v>5</v>
      </c>
      <c r="E78" s="16">
        <f>$A$78+$B$78*D78</f>
        <v>0</v>
      </c>
      <c r="F78" s="16">
        <f>E78</f>
        <v>0</v>
      </c>
      <c r="G78" s="17">
        <f>($C$3-E78)^2</f>
        <v>4.5796000000000001</v>
      </c>
      <c r="H78" s="18">
        <f>2*(E78-$C$3)</f>
        <v>-4.28</v>
      </c>
      <c r="I78" s="16">
        <f>EXP(E78)/(1 + EXP(E78))^2</f>
        <v>0.25</v>
      </c>
      <c r="J78" s="19">
        <v>1</v>
      </c>
      <c r="K78" s="16">
        <f>D78</f>
        <v>5</v>
      </c>
      <c r="L78" s="19">
        <f>-1*$C$14*H78*I78*J78</f>
        <v>0</v>
      </c>
      <c r="M78" s="16">
        <f>-1*$C$14*H78*I78*K78</f>
        <v>0</v>
      </c>
    </row>
    <row r="79" spans="1:13" ht="15.75" x14ac:dyDescent="0.25">
      <c r="A79" s="8"/>
      <c r="B79" s="8"/>
      <c r="C79" s="8"/>
      <c r="D79" s="5">
        <v>10</v>
      </c>
      <c r="E79" s="16">
        <f t="shared" ref="E79:E87" si="18">$A$78+$B$78*D79</f>
        <v>0</v>
      </c>
      <c r="F79" s="16">
        <f t="shared" ref="F79:F87" si="19">E79</f>
        <v>0</v>
      </c>
      <c r="G79" s="17">
        <f>($C$4-E79)^2</f>
        <v>11.424399999999999</v>
      </c>
      <c r="H79" s="18">
        <f>2*(E79-$C$4)</f>
        <v>-6.76</v>
      </c>
      <c r="I79" s="16">
        <f t="shared" ref="I79:I87" si="20">EXP(E79)/(1 + EXP(E79))^2</f>
        <v>0.25</v>
      </c>
      <c r="J79" s="19">
        <v>1</v>
      </c>
      <c r="K79" s="16">
        <f t="shared" ref="K79:K87" si="21">D79</f>
        <v>10</v>
      </c>
      <c r="L79" s="19">
        <f t="shared" ref="L79:L87" si="22">-1*$C$14*H79*I79*J79</f>
        <v>0</v>
      </c>
      <c r="M79" s="16">
        <f t="shared" ref="M79:M87" si="23">-1*$C$14*H79*I79*K79</f>
        <v>0</v>
      </c>
    </row>
    <row r="80" spans="1:13" ht="15.75" x14ac:dyDescent="0.25">
      <c r="A80" s="8"/>
      <c r="B80" s="8"/>
      <c r="C80" s="8"/>
      <c r="D80" s="5">
        <v>15</v>
      </c>
      <c r="E80" s="16">
        <f t="shared" si="18"/>
        <v>0</v>
      </c>
      <c r="F80" s="16">
        <f t="shared" si="19"/>
        <v>0</v>
      </c>
      <c r="G80" s="17">
        <f>($C$5-E80)^2</f>
        <v>14.8996</v>
      </c>
      <c r="H80" s="18">
        <f>2*(E80-$C$5)</f>
        <v>-7.72</v>
      </c>
      <c r="I80" s="16">
        <f t="shared" si="20"/>
        <v>0.25</v>
      </c>
      <c r="J80" s="19">
        <v>1</v>
      </c>
      <c r="K80" s="16">
        <f t="shared" si="21"/>
        <v>15</v>
      </c>
      <c r="L80" s="19">
        <f t="shared" si="22"/>
        <v>0</v>
      </c>
      <c r="M80" s="16">
        <f t="shared" si="23"/>
        <v>0</v>
      </c>
    </row>
    <row r="81" spans="1:13" ht="15.75" x14ac:dyDescent="0.25">
      <c r="A81" s="8"/>
      <c r="B81" s="8"/>
      <c r="C81" s="8"/>
      <c r="D81" s="5">
        <v>20</v>
      </c>
      <c r="E81" s="16">
        <f t="shared" si="18"/>
        <v>0</v>
      </c>
      <c r="F81" s="16">
        <f t="shared" si="19"/>
        <v>0</v>
      </c>
      <c r="G81" s="17">
        <f>($C$6-E81)^2</f>
        <v>20.976400000000002</v>
      </c>
      <c r="H81" s="18">
        <f>2*(E81-$C$6)</f>
        <v>-9.16</v>
      </c>
      <c r="I81" s="16">
        <f t="shared" si="20"/>
        <v>0.25</v>
      </c>
      <c r="J81" s="19">
        <v>1</v>
      </c>
      <c r="K81" s="16">
        <f t="shared" si="21"/>
        <v>20</v>
      </c>
      <c r="L81" s="19">
        <f t="shared" si="22"/>
        <v>0</v>
      </c>
      <c r="M81" s="16">
        <f t="shared" si="23"/>
        <v>0</v>
      </c>
    </row>
    <row r="82" spans="1:13" ht="15.75" x14ac:dyDescent="0.25">
      <c r="A82" s="8"/>
      <c r="B82" s="8"/>
      <c r="C82" s="8"/>
      <c r="D82" s="5">
        <v>25</v>
      </c>
      <c r="E82" s="16">
        <f t="shared" si="18"/>
        <v>0</v>
      </c>
      <c r="F82" s="16">
        <f t="shared" si="19"/>
        <v>0</v>
      </c>
      <c r="G82" s="17">
        <f>($C$7-E82)^2</f>
        <v>75.400277777777788</v>
      </c>
      <c r="H82" s="18">
        <f>2*(E82-$C$7)</f>
        <v>-17.366666666666667</v>
      </c>
      <c r="I82" s="16">
        <f t="shared" si="20"/>
        <v>0.25</v>
      </c>
      <c r="J82" s="19">
        <v>1</v>
      </c>
      <c r="K82" s="16">
        <f t="shared" si="21"/>
        <v>25</v>
      </c>
      <c r="L82" s="19">
        <f t="shared" si="22"/>
        <v>0</v>
      </c>
      <c r="M82" s="16">
        <f t="shared" si="23"/>
        <v>0</v>
      </c>
    </row>
    <row r="83" spans="1:13" ht="15.75" x14ac:dyDescent="0.25">
      <c r="A83" s="8"/>
      <c r="B83" s="8"/>
      <c r="C83" s="8"/>
      <c r="D83" s="5">
        <v>30</v>
      </c>
      <c r="E83" s="16">
        <f>$A$78+$B$78*D83</f>
        <v>0</v>
      </c>
      <c r="F83" s="16">
        <f t="shared" si="19"/>
        <v>0</v>
      </c>
      <c r="G83" s="17">
        <f>($C$8-E83)^2</f>
        <v>80.281600000000012</v>
      </c>
      <c r="H83" s="18">
        <f>2*(E83-$C$8)</f>
        <v>-17.920000000000002</v>
      </c>
      <c r="I83" s="16">
        <f t="shared" si="20"/>
        <v>0.25</v>
      </c>
      <c r="J83" s="19">
        <v>1</v>
      </c>
      <c r="K83" s="16">
        <f t="shared" si="21"/>
        <v>30</v>
      </c>
      <c r="L83" s="19">
        <f t="shared" si="22"/>
        <v>0</v>
      </c>
      <c r="M83" s="16">
        <f t="shared" si="23"/>
        <v>0</v>
      </c>
    </row>
    <row r="84" spans="1:13" ht="15.75" x14ac:dyDescent="0.25">
      <c r="A84" s="8"/>
      <c r="B84" s="8"/>
      <c r="C84" s="8"/>
      <c r="D84" s="5">
        <v>35</v>
      </c>
      <c r="E84" s="16">
        <f t="shared" si="18"/>
        <v>0</v>
      </c>
      <c r="F84" s="16">
        <f t="shared" si="19"/>
        <v>0</v>
      </c>
      <c r="G84" s="17">
        <f>($C$9-E84)^2</f>
        <v>101.13654444444444</v>
      </c>
      <c r="H84" s="18">
        <f>2*(E84-$C$9)</f>
        <v>-20.113333333333333</v>
      </c>
      <c r="I84" s="16">
        <f t="shared" si="20"/>
        <v>0.25</v>
      </c>
      <c r="J84" s="19">
        <v>1</v>
      </c>
      <c r="K84" s="16">
        <f t="shared" si="21"/>
        <v>35</v>
      </c>
      <c r="L84" s="19">
        <f t="shared" si="22"/>
        <v>0</v>
      </c>
      <c r="M84" s="16">
        <f t="shared" si="23"/>
        <v>0</v>
      </c>
    </row>
    <row r="85" spans="1:13" ht="15.75" x14ac:dyDescent="0.25">
      <c r="A85" s="8"/>
      <c r="B85" s="8"/>
      <c r="C85" s="8"/>
      <c r="D85" s="5">
        <v>40</v>
      </c>
      <c r="E85" s="16">
        <f t="shared" si="18"/>
        <v>0</v>
      </c>
      <c r="F85" s="16">
        <f t="shared" si="19"/>
        <v>0</v>
      </c>
      <c r="G85" s="17">
        <f>($C$10-E85)^2</f>
        <v>168.82671111111114</v>
      </c>
      <c r="H85" s="18">
        <f>2*(E85-$C$10)</f>
        <v>-25.986666666666668</v>
      </c>
      <c r="I85" s="16">
        <f t="shared" si="20"/>
        <v>0.25</v>
      </c>
      <c r="J85" s="19">
        <v>1</v>
      </c>
      <c r="K85" s="16">
        <f t="shared" si="21"/>
        <v>40</v>
      </c>
      <c r="L85" s="19">
        <f t="shared" si="22"/>
        <v>0</v>
      </c>
      <c r="M85" s="16">
        <f t="shared" si="23"/>
        <v>0</v>
      </c>
    </row>
    <row r="86" spans="1:13" ht="15.75" x14ac:dyDescent="0.25">
      <c r="A86" s="8"/>
      <c r="B86" s="8"/>
      <c r="C86" s="8"/>
      <c r="D86" s="5">
        <v>45</v>
      </c>
      <c r="E86" s="16">
        <f t="shared" si="18"/>
        <v>0</v>
      </c>
      <c r="F86" s="16">
        <f t="shared" si="19"/>
        <v>0</v>
      </c>
      <c r="G86" s="17">
        <f>($C$11-E86)^2</f>
        <v>208.22490000000005</v>
      </c>
      <c r="H86" s="18">
        <f>2*(E86-$C$11)</f>
        <v>-28.860000000000003</v>
      </c>
      <c r="I86" s="16">
        <f t="shared" si="20"/>
        <v>0.25</v>
      </c>
      <c r="J86" s="19">
        <v>1</v>
      </c>
      <c r="K86" s="16">
        <f t="shared" si="21"/>
        <v>45</v>
      </c>
      <c r="L86" s="19">
        <f t="shared" si="22"/>
        <v>0</v>
      </c>
      <c r="M86" s="16">
        <f t="shared" si="23"/>
        <v>0</v>
      </c>
    </row>
    <row r="87" spans="1:13" ht="16.5" thickBot="1" x14ac:dyDescent="0.3">
      <c r="A87" s="20"/>
      <c r="B87" s="20"/>
      <c r="C87" s="3"/>
      <c r="D87" s="5">
        <v>50</v>
      </c>
      <c r="E87" s="16">
        <f t="shared" si="18"/>
        <v>0</v>
      </c>
      <c r="F87" s="16">
        <f t="shared" si="19"/>
        <v>0</v>
      </c>
      <c r="G87" s="17">
        <f>($C$12-E87)^2</f>
        <v>206.40111111111116</v>
      </c>
      <c r="H87" s="18">
        <f>2*(E87-$C$12)</f>
        <v>-28.733333333333338</v>
      </c>
      <c r="I87" s="16">
        <f t="shared" si="20"/>
        <v>0.25</v>
      </c>
      <c r="J87" s="19">
        <v>1</v>
      </c>
      <c r="K87" s="16">
        <f t="shared" si="21"/>
        <v>50</v>
      </c>
      <c r="L87" s="19">
        <f t="shared" si="22"/>
        <v>0</v>
      </c>
      <c r="M87" s="16">
        <f t="shared" si="23"/>
        <v>0</v>
      </c>
    </row>
    <row r="88" spans="1:13" ht="16.5" thickTop="1" x14ac:dyDescent="0.25">
      <c r="A88" s="3"/>
      <c r="B88" s="3"/>
      <c r="C88" s="3"/>
      <c r="D88" s="3"/>
      <c r="E88" s="3"/>
      <c r="F88" s="3"/>
      <c r="G88" s="21">
        <f>SUM(G78:G87)</f>
        <v>892.15114444444464</v>
      </c>
      <c r="H88" s="11"/>
      <c r="I88" s="3"/>
      <c r="J88" s="3"/>
      <c r="K88" s="3"/>
      <c r="L88" s="22">
        <f>AVERAGE(L78:L87)</f>
        <v>0</v>
      </c>
      <c r="M88" s="22">
        <f>AVERAGE(M78:M87)</f>
        <v>0</v>
      </c>
    </row>
    <row r="90" spans="1:13" x14ac:dyDescent="0.25">
      <c r="A90" s="30" t="s">
        <v>27</v>
      </c>
    </row>
    <row r="91" spans="1:13" ht="31.5" x14ac:dyDescent="0.25">
      <c r="A91" s="8" t="s">
        <v>5</v>
      </c>
      <c r="B91" s="9" t="s">
        <v>6</v>
      </c>
      <c r="C91" s="3"/>
      <c r="D91" s="8" t="s">
        <v>7</v>
      </c>
      <c r="E91" s="10" t="s">
        <v>8</v>
      </c>
      <c r="F91" s="8" t="s">
        <v>9</v>
      </c>
      <c r="G91" s="8" t="s">
        <v>4</v>
      </c>
      <c r="H91" s="11"/>
      <c r="I91" s="3"/>
      <c r="J91" s="23" t="s">
        <v>49</v>
      </c>
      <c r="K91" s="24"/>
      <c r="L91" s="25" t="s">
        <v>10</v>
      </c>
      <c r="M91" s="26"/>
    </row>
    <row r="92" spans="1:13" ht="15.75" x14ac:dyDescent="0.25">
      <c r="A92" s="12" t="s">
        <v>50</v>
      </c>
      <c r="B92" s="12" t="s">
        <v>11</v>
      </c>
      <c r="C92" s="12"/>
      <c r="D92" s="12" t="s">
        <v>12</v>
      </c>
      <c r="E92" s="12" t="s">
        <v>45</v>
      </c>
      <c r="F92" s="12" t="s">
        <v>46</v>
      </c>
      <c r="G92" s="12" t="s">
        <v>13</v>
      </c>
      <c r="H92" s="13" t="s">
        <v>47</v>
      </c>
      <c r="I92" s="14" t="s">
        <v>48</v>
      </c>
      <c r="J92" s="13" t="s">
        <v>51</v>
      </c>
      <c r="K92" s="14" t="s">
        <v>14</v>
      </c>
      <c r="L92" s="15" t="s">
        <v>51</v>
      </c>
      <c r="M92" s="14" t="s">
        <v>14</v>
      </c>
    </row>
    <row r="93" spans="1:13" ht="15.75" x14ac:dyDescent="0.25">
      <c r="A93" s="8">
        <f>A78+L88</f>
        <v>0</v>
      </c>
      <c r="B93" s="8">
        <f>B78+M88</f>
        <v>0</v>
      </c>
      <c r="C93" s="8"/>
      <c r="D93" s="5">
        <v>5</v>
      </c>
      <c r="E93" s="16">
        <f>$A$93+$B$93*D93</f>
        <v>0</v>
      </c>
      <c r="F93" s="16">
        <f>E93</f>
        <v>0</v>
      </c>
      <c r="G93" s="17">
        <f>($C$3-E93)^2</f>
        <v>4.5796000000000001</v>
      </c>
      <c r="H93" s="18">
        <f>2*(E93-$C$3)</f>
        <v>-4.28</v>
      </c>
      <c r="I93" s="16">
        <f>EXP(E93)/(1 + EXP(E93))^2</f>
        <v>0.25</v>
      </c>
      <c r="J93" s="19">
        <v>1</v>
      </c>
      <c r="K93" s="16">
        <f>D93</f>
        <v>5</v>
      </c>
      <c r="L93" s="19">
        <f>-1*$C$14*H93*I93*J93</f>
        <v>0</v>
      </c>
      <c r="M93" s="16">
        <f>-1*$C$14*H93*I93*K93</f>
        <v>0</v>
      </c>
    </row>
    <row r="94" spans="1:13" ht="15.75" x14ac:dyDescent="0.25">
      <c r="A94" s="8"/>
      <c r="B94" s="8"/>
      <c r="C94" s="8"/>
      <c r="D94" s="5">
        <v>10</v>
      </c>
      <c r="E94" s="16">
        <f>$A$93+$B$93*D94</f>
        <v>0</v>
      </c>
      <c r="F94" s="16">
        <f t="shared" ref="F94:F102" si="24">E94</f>
        <v>0</v>
      </c>
      <c r="G94" s="17">
        <f>($C$4-E94)^2</f>
        <v>11.424399999999999</v>
      </c>
      <c r="H94" s="18">
        <f>2*(E94-$C$4)</f>
        <v>-6.76</v>
      </c>
      <c r="I94" s="16">
        <f t="shared" ref="I94:I102" si="25">EXP(E94)/(1 + EXP(E94))^2</f>
        <v>0.25</v>
      </c>
      <c r="J94" s="19">
        <v>1</v>
      </c>
      <c r="K94" s="16">
        <f t="shared" ref="K94:K102" si="26">D94</f>
        <v>10</v>
      </c>
      <c r="L94" s="19">
        <f t="shared" ref="L94:L102" si="27">-1*$C$14*H94*I94*J94</f>
        <v>0</v>
      </c>
      <c r="M94" s="16">
        <f t="shared" ref="M94:M102" si="28">-1*$C$14*H94*I94*K94</f>
        <v>0</v>
      </c>
    </row>
    <row r="95" spans="1:13" ht="15.75" x14ac:dyDescent="0.25">
      <c r="A95" s="8"/>
      <c r="B95" s="8"/>
      <c r="C95" s="8"/>
      <c r="D95" s="5">
        <v>15</v>
      </c>
      <c r="E95" s="16">
        <f t="shared" ref="E94:E102" si="29">$A$93+$B$93*D95</f>
        <v>0</v>
      </c>
      <c r="F95" s="16">
        <f t="shared" si="24"/>
        <v>0</v>
      </c>
      <c r="G95" s="17">
        <f>($C$5-E95)^2</f>
        <v>14.8996</v>
      </c>
      <c r="H95" s="18">
        <f>2*(E95-$C$5)</f>
        <v>-7.72</v>
      </c>
      <c r="I95" s="16">
        <f t="shared" si="25"/>
        <v>0.25</v>
      </c>
      <c r="J95" s="19">
        <v>1</v>
      </c>
      <c r="K95" s="16">
        <f t="shared" si="26"/>
        <v>15</v>
      </c>
      <c r="L95" s="19">
        <f t="shared" si="27"/>
        <v>0</v>
      </c>
      <c r="M95" s="16">
        <f t="shared" si="28"/>
        <v>0</v>
      </c>
    </row>
    <row r="96" spans="1:13" ht="15.75" x14ac:dyDescent="0.25">
      <c r="A96" s="8"/>
      <c r="B96" s="8"/>
      <c r="C96" s="8"/>
      <c r="D96" s="5">
        <v>20</v>
      </c>
      <c r="E96" s="16">
        <f t="shared" si="29"/>
        <v>0</v>
      </c>
      <c r="F96" s="16">
        <f t="shared" si="24"/>
        <v>0</v>
      </c>
      <c r="G96" s="17">
        <f>($C$6-E96)^2</f>
        <v>20.976400000000002</v>
      </c>
      <c r="H96" s="18">
        <f>2*(E96-$C$6)</f>
        <v>-9.16</v>
      </c>
      <c r="I96" s="16">
        <f t="shared" si="25"/>
        <v>0.25</v>
      </c>
      <c r="J96" s="19">
        <v>1</v>
      </c>
      <c r="K96" s="16">
        <f t="shared" si="26"/>
        <v>20</v>
      </c>
      <c r="L96" s="19">
        <f t="shared" si="27"/>
        <v>0</v>
      </c>
      <c r="M96" s="16">
        <f t="shared" si="28"/>
        <v>0</v>
      </c>
    </row>
    <row r="97" spans="1:13" ht="15.75" x14ac:dyDescent="0.25">
      <c r="A97" s="8"/>
      <c r="B97" s="8"/>
      <c r="C97" s="8"/>
      <c r="D97" s="5">
        <v>25</v>
      </c>
      <c r="E97" s="16">
        <f t="shared" si="29"/>
        <v>0</v>
      </c>
      <c r="F97" s="16">
        <f t="shared" si="24"/>
        <v>0</v>
      </c>
      <c r="G97" s="17">
        <f>($C$7-E97)^2</f>
        <v>75.400277777777788</v>
      </c>
      <c r="H97" s="18">
        <f>2*(E97-$C$7)</f>
        <v>-17.366666666666667</v>
      </c>
      <c r="I97" s="16">
        <f t="shared" si="25"/>
        <v>0.25</v>
      </c>
      <c r="J97" s="19">
        <v>1</v>
      </c>
      <c r="K97" s="16">
        <f t="shared" si="26"/>
        <v>25</v>
      </c>
      <c r="L97" s="19">
        <f t="shared" si="27"/>
        <v>0</v>
      </c>
      <c r="M97" s="16">
        <f t="shared" si="28"/>
        <v>0</v>
      </c>
    </row>
    <row r="98" spans="1:13" ht="15.75" x14ac:dyDescent="0.25">
      <c r="A98" s="8"/>
      <c r="B98" s="8"/>
      <c r="C98" s="8"/>
      <c r="D98" s="5">
        <v>30</v>
      </c>
      <c r="E98" s="16">
        <f t="shared" si="29"/>
        <v>0</v>
      </c>
      <c r="F98" s="16">
        <f t="shared" si="24"/>
        <v>0</v>
      </c>
      <c r="G98" s="17">
        <f>($C$8-E98)^2</f>
        <v>80.281600000000012</v>
      </c>
      <c r="H98" s="18">
        <f>2*(E98-$C$8)</f>
        <v>-17.920000000000002</v>
      </c>
      <c r="I98" s="16">
        <f t="shared" si="25"/>
        <v>0.25</v>
      </c>
      <c r="J98" s="19">
        <v>1</v>
      </c>
      <c r="K98" s="16">
        <f t="shared" si="26"/>
        <v>30</v>
      </c>
      <c r="L98" s="19">
        <f t="shared" si="27"/>
        <v>0</v>
      </c>
      <c r="M98" s="16">
        <f t="shared" si="28"/>
        <v>0</v>
      </c>
    </row>
    <row r="99" spans="1:13" ht="15.75" x14ac:dyDescent="0.25">
      <c r="A99" s="8"/>
      <c r="B99" s="8"/>
      <c r="C99" s="8"/>
      <c r="D99" s="5">
        <v>35</v>
      </c>
      <c r="E99" s="16">
        <f t="shared" si="29"/>
        <v>0</v>
      </c>
      <c r="F99" s="16">
        <f t="shared" si="24"/>
        <v>0</v>
      </c>
      <c r="G99" s="17">
        <f>($C$9-E99)^2</f>
        <v>101.13654444444444</v>
      </c>
      <c r="H99" s="18">
        <f>2*(E99-$C$9)</f>
        <v>-20.113333333333333</v>
      </c>
      <c r="I99" s="16">
        <f t="shared" si="25"/>
        <v>0.25</v>
      </c>
      <c r="J99" s="19">
        <v>1</v>
      </c>
      <c r="K99" s="16">
        <f t="shared" si="26"/>
        <v>35</v>
      </c>
      <c r="L99" s="19">
        <f t="shared" si="27"/>
        <v>0</v>
      </c>
      <c r="M99" s="16">
        <f t="shared" si="28"/>
        <v>0</v>
      </c>
    </row>
    <row r="100" spans="1:13" ht="15.75" x14ac:dyDescent="0.25">
      <c r="A100" s="8"/>
      <c r="B100" s="8"/>
      <c r="C100" s="8"/>
      <c r="D100" s="5">
        <v>40</v>
      </c>
      <c r="E100" s="16">
        <f t="shared" si="29"/>
        <v>0</v>
      </c>
      <c r="F100" s="16">
        <f t="shared" si="24"/>
        <v>0</v>
      </c>
      <c r="G100" s="17">
        <f>($C$10-E100)^2</f>
        <v>168.82671111111114</v>
      </c>
      <c r="H100" s="18">
        <f>2*(E100-$C$10)</f>
        <v>-25.986666666666668</v>
      </c>
      <c r="I100" s="16">
        <f t="shared" si="25"/>
        <v>0.25</v>
      </c>
      <c r="J100" s="19">
        <v>1</v>
      </c>
      <c r="K100" s="16">
        <f t="shared" si="26"/>
        <v>40</v>
      </c>
      <c r="L100" s="19">
        <f t="shared" si="27"/>
        <v>0</v>
      </c>
      <c r="M100" s="16">
        <f t="shared" si="28"/>
        <v>0</v>
      </c>
    </row>
    <row r="101" spans="1:13" ht="15.75" x14ac:dyDescent="0.25">
      <c r="A101" s="8"/>
      <c r="B101" s="8"/>
      <c r="C101" s="8"/>
      <c r="D101" s="5">
        <v>45</v>
      </c>
      <c r="E101" s="16">
        <f t="shared" si="29"/>
        <v>0</v>
      </c>
      <c r="F101" s="16">
        <f t="shared" si="24"/>
        <v>0</v>
      </c>
      <c r="G101" s="17">
        <f>($C$11-E101)^2</f>
        <v>208.22490000000005</v>
      </c>
      <c r="H101" s="18">
        <f>2*(E101-$C$11)</f>
        <v>-28.860000000000003</v>
      </c>
      <c r="I101" s="16">
        <f t="shared" si="25"/>
        <v>0.25</v>
      </c>
      <c r="J101" s="19">
        <v>1</v>
      </c>
      <c r="K101" s="16">
        <f t="shared" si="26"/>
        <v>45</v>
      </c>
      <c r="L101" s="19">
        <f t="shared" si="27"/>
        <v>0</v>
      </c>
      <c r="M101" s="16">
        <f t="shared" si="28"/>
        <v>0</v>
      </c>
    </row>
    <row r="102" spans="1:13" ht="16.5" thickBot="1" x14ac:dyDescent="0.3">
      <c r="A102" s="20"/>
      <c r="B102" s="20"/>
      <c r="C102" s="3"/>
      <c r="D102" s="5">
        <v>50</v>
      </c>
      <c r="E102" s="16">
        <f t="shared" si="29"/>
        <v>0</v>
      </c>
      <c r="F102" s="16">
        <f t="shared" si="24"/>
        <v>0</v>
      </c>
      <c r="G102" s="17">
        <f>($C$12-E102)^2</f>
        <v>206.40111111111116</v>
      </c>
      <c r="H102" s="18">
        <f>2*(E102-$C$12)</f>
        <v>-28.733333333333338</v>
      </c>
      <c r="I102" s="16">
        <f t="shared" si="25"/>
        <v>0.25</v>
      </c>
      <c r="J102" s="19">
        <v>1</v>
      </c>
      <c r="K102" s="16">
        <f t="shared" si="26"/>
        <v>50</v>
      </c>
      <c r="L102" s="19">
        <f t="shared" si="27"/>
        <v>0</v>
      </c>
      <c r="M102" s="16">
        <f t="shared" si="28"/>
        <v>0</v>
      </c>
    </row>
    <row r="103" spans="1:13" ht="16.5" thickTop="1" x14ac:dyDescent="0.25">
      <c r="A103" s="3"/>
      <c r="B103" s="3"/>
      <c r="C103" s="3"/>
      <c r="D103" s="3"/>
      <c r="E103" s="3"/>
      <c r="F103" s="3"/>
      <c r="G103" s="21">
        <f>SUM(G93:G102)</f>
        <v>892.15114444444464</v>
      </c>
      <c r="H103" s="11"/>
      <c r="I103" s="3"/>
      <c r="J103" s="3"/>
      <c r="K103" s="3"/>
      <c r="L103" s="22">
        <f>AVERAGE(L93:L102)</f>
        <v>0</v>
      </c>
      <c r="M103" s="22">
        <f>AVERAGE(M93:M102)</f>
        <v>0</v>
      </c>
    </row>
    <row r="105" spans="1:13" x14ac:dyDescent="0.25">
      <c r="A105" s="30" t="s">
        <v>28</v>
      </c>
    </row>
    <row r="106" spans="1:13" ht="31.5" x14ac:dyDescent="0.25">
      <c r="A106" s="8" t="s">
        <v>5</v>
      </c>
      <c r="B106" s="9" t="s">
        <v>6</v>
      </c>
      <c r="C106" s="3"/>
      <c r="D106" s="8" t="s">
        <v>7</v>
      </c>
      <c r="E106" s="10" t="s">
        <v>8</v>
      </c>
      <c r="F106" s="8" t="s">
        <v>9</v>
      </c>
      <c r="G106" s="8" t="s">
        <v>4</v>
      </c>
      <c r="H106" s="11"/>
      <c r="I106" s="3"/>
      <c r="J106" s="23" t="s">
        <v>49</v>
      </c>
      <c r="K106" s="24"/>
      <c r="L106" s="25" t="s">
        <v>10</v>
      </c>
      <c r="M106" s="26"/>
    </row>
    <row r="107" spans="1:13" ht="15.75" x14ac:dyDescent="0.25">
      <c r="A107" s="12" t="s">
        <v>50</v>
      </c>
      <c r="B107" s="12" t="s">
        <v>11</v>
      </c>
      <c r="C107" s="12"/>
      <c r="D107" s="12" t="s">
        <v>12</v>
      </c>
      <c r="E107" s="12" t="s">
        <v>45</v>
      </c>
      <c r="F107" s="12" t="s">
        <v>46</v>
      </c>
      <c r="G107" s="12" t="s">
        <v>13</v>
      </c>
      <c r="H107" s="13" t="s">
        <v>47</v>
      </c>
      <c r="I107" s="14" t="s">
        <v>48</v>
      </c>
      <c r="J107" s="13" t="s">
        <v>51</v>
      </c>
      <c r="K107" s="14" t="s">
        <v>14</v>
      </c>
      <c r="L107" s="15" t="s">
        <v>51</v>
      </c>
      <c r="M107" s="14" t="s">
        <v>14</v>
      </c>
    </row>
    <row r="108" spans="1:13" ht="15.75" x14ac:dyDescent="0.25">
      <c r="A108" s="8">
        <f>A93+L103</f>
        <v>0</v>
      </c>
      <c r="B108" s="8">
        <f>B93+M103</f>
        <v>0</v>
      </c>
      <c r="C108" s="8"/>
      <c r="D108" s="5">
        <v>5</v>
      </c>
      <c r="E108" s="16">
        <f>$A$108+$B$108*D108</f>
        <v>0</v>
      </c>
      <c r="F108" s="16">
        <f>E108</f>
        <v>0</v>
      </c>
      <c r="G108" s="17">
        <f>($C$3-E108)^2</f>
        <v>4.5796000000000001</v>
      </c>
      <c r="H108" s="18">
        <f>2*(E108-$C$3)</f>
        <v>-4.28</v>
      </c>
      <c r="I108" s="16">
        <f>EXP(E108)/(1 + EXP(E108))^2</f>
        <v>0.25</v>
      </c>
      <c r="J108" s="19">
        <v>1</v>
      </c>
      <c r="K108" s="16">
        <f>D108</f>
        <v>5</v>
      </c>
      <c r="L108" s="19">
        <f>-1*$C$14*H108*I108*J108</f>
        <v>0</v>
      </c>
      <c r="M108" s="16">
        <f>-1*$C$14*H108*I108*K108</f>
        <v>0</v>
      </c>
    </row>
    <row r="109" spans="1:13" ht="15.75" x14ac:dyDescent="0.25">
      <c r="A109" s="8"/>
      <c r="B109" s="8"/>
      <c r="C109" s="8"/>
      <c r="D109" s="5">
        <v>10</v>
      </c>
      <c r="E109" s="16">
        <f t="shared" ref="E109:E117" si="30">$A$108+$B$108*D109</f>
        <v>0</v>
      </c>
      <c r="F109" s="16">
        <f t="shared" ref="F109:F117" si="31">E109</f>
        <v>0</v>
      </c>
      <c r="G109" s="17">
        <f>($C$4-E109)^2</f>
        <v>11.424399999999999</v>
      </c>
      <c r="H109" s="18">
        <f>2*(E109-$C$4)</f>
        <v>-6.76</v>
      </c>
      <c r="I109" s="16">
        <f t="shared" ref="I109:I117" si="32">EXP(E109)/(1 + EXP(E109))^2</f>
        <v>0.25</v>
      </c>
      <c r="J109" s="19">
        <v>1</v>
      </c>
      <c r="K109" s="16">
        <f t="shared" ref="K109:K117" si="33">D109</f>
        <v>10</v>
      </c>
      <c r="L109" s="19">
        <f t="shared" ref="L109:L117" si="34">-1*$C$14*H109*I109*J109</f>
        <v>0</v>
      </c>
      <c r="M109" s="16">
        <f t="shared" ref="M109:M117" si="35">-1*$C$14*H109*I109*K109</f>
        <v>0</v>
      </c>
    </row>
    <row r="110" spans="1:13" ht="15.75" x14ac:dyDescent="0.25">
      <c r="A110" s="8"/>
      <c r="B110" s="8"/>
      <c r="C110" s="8"/>
      <c r="D110" s="5">
        <v>15</v>
      </c>
      <c r="E110" s="16">
        <f t="shared" si="30"/>
        <v>0</v>
      </c>
      <c r="F110" s="16">
        <f t="shared" si="31"/>
        <v>0</v>
      </c>
      <c r="G110" s="17">
        <f>($C$5-E110)^2</f>
        <v>14.8996</v>
      </c>
      <c r="H110" s="18">
        <f>2*(E110-$C$5)</f>
        <v>-7.72</v>
      </c>
      <c r="I110" s="16">
        <f t="shared" si="32"/>
        <v>0.25</v>
      </c>
      <c r="J110" s="19">
        <v>1</v>
      </c>
      <c r="K110" s="16">
        <f t="shared" si="33"/>
        <v>15</v>
      </c>
      <c r="L110" s="19">
        <f t="shared" si="34"/>
        <v>0</v>
      </c>
      <c r="M110" s="16">
        <f t="shared" si="35"/>
        <v>0</v>
      </c>
    </row>
    <row r="111" spans="1:13" ht="15.75" x14ac:dyDescent="0.25">
      <c r="A111" s="8"/>
      <c r="B111" s="8"/>
      <c r="C111" s="8"/>
      <c r="D111" s="5">
        <v>20</v>
      </c>
      <c r="E111" s="16">
        <f t="shared" si="30"/>
        <v>0</v>
      </c>
      <c r="F111" s="16">
        <f t="shared" si="31"/>
        <v>0</v>
      </c>
      <c r="G111" s="17">
        <f>($C$6-E111)^2</f>
        <v>20.976400000000002</v>
      </c>
      <c r="H111" s="18">
        <f>2*(E111-$C$6)</f>
        <v>-9.16</v>
      </c>
      <c r="I111" s="16">
        <f t="shared" si="32"/>
        <v>0.25</v>
      </c>
      <c r="J111" s="19">
        <v>1</v>
      </c>
      <c r="K111" s="16">
        <f t="shared" si="33"/>
        <v>20</v>
      </c>
      <c r="L111" s="19">
        <f t="shared" si="34"/>
        <v>0</v>
      </c>
      <c r="M111" s="16">
        <f t="shared" si="35"/>
        <v>0</v>
      </c>
    </row>
    <row r="112" spans="1:13" ht="15.75" x14ac:dyDescent="0.25">
      <c r="A112" s="8"/>
      <c r="B112" s="8"/>
      <c r="C112" s="8"/>
      <c r="D112" s="5">
        <v>25</v>
      </c>
      <c r="E112" s="16">
        <f t="shared" si="30"/>
        <v>0</v>
      </c>
      <c r="F112" s="16">
        <f t="shared" si="31"/>
        <v>0</v>
      </c>
      <c r="G112" s="17">
        <f>($C$7-E112)^2</f>
        <v>75.400277777777788</v>
      </c>
      <c r="H112" s="18">
        <f>2*(E112-$C$7)</f>
        <v>-17.366666666666667</v>
      </c>
      <c r="I112" s="16">
        <f t="shared" si="32"/>
        <v>0.25</v>
      </c>
      <c r="J112" s="19">
        <v>1</v>
      </c>
      <c r="K112" s="16">
        <f t="shared" si="33"/>
        <v>25</v>
      </c>
      <c r="L112" s="19">
        <f t="shared" si="34"/>
        <v>0</v>
      </c>
      <c r="M112" s="16">
        <f t="shared" si="35"/>
        <v>0</v>
      </c>
    </row>
    <row r="113" spans="1:13" ht="15.75" x14ac:dyDescent="0.25">
      <c r="A113" s="8"/>
      <c r="B113" s="8"/>
      <c r="C113" s="8"/>
      <c r="D113" s="5">
        <v>30</v>
      </c>
      <c r="E113" s="16">
        <f t="shared" si="30"/>
        <v>0</v>
      </c>
      <c r="F113" s="16">
        <f t="shared" si="31"/>
        <v>0</v>
      </c>
      <c r="G113" s="17">
        <f>($C$8-E113)^2</f>
        <v>80.281600000000012</v>
      </c>
      <c r="H113" s="18">
        <f>2*(E113-$C$8)</f>
        <v>-17.920000000000002</v>
      </c>
      <c r="I113" s="16">
        <f t="shared" si="32"/>
        <v>0.25</v>
      </c>
      <c r="J113" s="19">
        <v>1</v>
      </c>
      <c r="K113" s="16">
        <f t="shared" si="33"/>
        <v>30</v>
      </c>
      <c r="L113" s="19">
        <f t="shared" si="34"/>
        <v>0</v>
      </c>
      <c r="M113" s="16">
        <f t="shared" si="35"/>
        <v>0</v>
      </c>
    </row>
    <row r="114" spans="1:13" ht="15.75" x14ac:dyDescent="0.25">
      <c r="A114" s="8"/>
      <c r="B114" s="8"/>
      <c r="C114" s="8"/>
      <c r="D114" s="5">
        <v>35</v>
      </c>
      <c r="E114" s="16">
        <f t="shared" si="30"/>
        <v>0</v>
      </c>
      <c r="F114" s="16">
        <f t="shared" si="31"/>
        <v>0</v>
      </c>
      <c r="G114" s="17">
        <f>($C$9-E114)^2</f>
        <v>101.13654444444444</v>
      </c>
      <c r="H114" s="18">
        <f>2*(E114-$C$9)</f>
        <v>-20.113333333333333</v>
      </c>
      <c r="I114" s="16">
        <f t="shared" si="32"/>
        <v>0.25</v>
      </c>
      <c r="J114" s="19">
        <v>1</v>
      </c>
      <c r="K114" s="16">
        <f t="shared" si="33"/>
        <v>35</v>
      </c>
      <c r="L114" s="19">
        <f t="shared" si="34"/>
        <v>0</v>
      </c>
      <c r="M114" s="16">
        <f t="shared" si="35"/>
        <v>0</v>
      </c>
    </row>
    <row r="115" spans="1:13" ht="15.75" x14ac:dyDescent="0.25">
      <c r="A115" s="8"/>
      <c r="B115" s="8"/>
      <c r="C115" s="8"/>
      <c r="D115" s="5">
        <v>40</v>
      </c>
      <c r="E115" s="16">
        <f t="shared" si="30"/>
        <v>0</v>
      </c>
      <c r="F115" s="16">
        <f t="shared" si="31"/>
        <v>0</v>
      </c>
      <c r="G115" s="17">
        <f>($C$10-E115)^2</f>
        <v>168.82671111111114</v>
      </c>
      <c r="H115" s="18">
        <f>2*(E115-$C$10)</f>
        <v>-25.986666666666668</v>
      </c>
      <c r="I115" s="16">
        <f t="shared" si="32"/>
        <v>0.25</v>
      </c>
      <c r="J115" s="19">
        <v>1</v>
      </c>
      <c r="K115" s="16">
        <f t="shared" si="33"/>
        <v>40</v>
      </c>
      <c r="L115" s="19">
        <f t="shared" si="34"/>
        <v>0</v>
      </c>
      <c r="M115" s="16">
        <f t="shared" si="35"/>
        <v>0</v>
      </c>
    </row>
    <row r="116" spans="1:13" ht="15.75" x14ac:dyDescent="0.25">
      <c r="A116" s="8"/>
      <c r="B116" s="8"/>
      <c r="C116" s="8"/>
      <c r="D116" s="5">
        <v>45</v>
      </c>
      <c r="E116" s="16">
        <f t="shared" si="30"/>
        <v>0</v>
      </c>
      <c r="F116" s="16">
        <f t="shared" si="31"/>
        <v>0</v>
      </c>
      <c r="G116" s="17">
        <f>($C$11-E116)^2</f>
        <v>208.22490000000005</v>
      </c>
      <c r="H116" s="18">
        <f>2*(E116-$C$11)</f>
        <v>-28.860000000000003</v>
      </c>
      <c r="I116" s="16">
        <f t="shared" si="32"/>
        <v>0.25</v>
      </c>
      <c r="J116" s="19">
        <v>1</v>
      </c>
      <c r="K116" s="16">
        <f t="shared" si="33"/>
        <v>45</v>
      </c>
      <c r="L116" s="19">
        <f t="shared" si="34"/>
        <v>0</v>
      </c>
      <c r="M116" s="16">
        <f t="shared" si="35"/>
        <v>0</v>
      </c>
    </row>
    <row r="117" spans="1:13" ht="16.5" thickBot="1" x14ac:dyDescent="0.3">
      <c r="A117" s="20"/>
      <c r="B117" s="20"/>
      <c r="C117" s="3"/>
      <c r="D117" s="5">
        <v>50</v>
      </c>
      <c r="E117" s="16">
        <f t="shared" si="30"/>
        <v>0</v>
      </c>
      <c r="F117" s="16">
        <f t="shared" si="31"/>
        <v>0</v>
      </c>
      <c r="G117" s="17">
        <f>($C$12-E117)^2</f>
        <v>206.40111111111116</v>
      </c>
      <c r="H117" s="18">
        <f>2*(E117-$C$12)</f>
        <v>-28.733333333333338</v>
      </c>
      <c r="I117" s="16">
        <f t="shared" si="32"/>
        <v>0.25</v>
      </c>
      <c r="J117" s="19">
        <v>1</v>
      </c>
      <c r="K117" s="16">
        <f t="shared" si="33"/>
        <v>50</v>
      </c>
      <c r="L117" s="19">
        <f t="shared" si="34"/>
        <v>0</v>
      </c>
      <c r="M117" s="16">
        <f t="shared" si="35"/>
        <v>0</v>
      </c>
    </row>
    <row r="118" spans="1:13" ht="16.5" thickTop="1" x14ac:dyDescent="0.25">
      <c r="A118" s="3"/>
      <c r="B118" s="3"/>
      <c r="C118" s="3"/>
      <c r="D118" s="3"/>
      <c r="E118" s="3"/>
      <c r="F118" s="3"/>
      <c r="G118" s="21">
        <f>SUM(G108:G117)</f>
        <v>892.15114444444464</v>
      </c>
      <c r="H118" s="11"/>
      <c r="I118" s="3"/>
      <c r="J118" s="3"/>
      <c r="K118" s="3"/>
      <c r="L118" s="22">
        <f>AVERAGE(L108:L117)</f>
        <v>0</v>
      </c>
      <c r="M118" s="22">
        <f>AVERAGE(M108:M117)</f>
        <v>0</v>
      </c>
    </row>
    <row r="120" spans="1:13" x14ac:dyDescent="0.25">
      <c r="A120" s="30" t="s">
        <v>28</v>
      </c>
    </row>
    <row r="121" spans="1:13" ht="31.5" x14ac:dyDescent="0.25">
      <c r="A121" s="8" t="s">
        <v>5</v>
      </c>
      <c r="B121" s="9" t="s">
        <v>6</v>
      </c>
      <c r="C121" s="3"/>
      <c r="D121" s="8" t="s">
        <v>7</v>
      </c>
      <c r="E121" s="10" t="s">
        <v>8</v>
      </c>
      <c r="F121" s="8" t="s">
        <v>9</v>
      </c>
      <c r="G121" s="8" t="s">
        <v>4</v>
      </c>
      <c r="H121" s="11"/>
      <c r="I121" s="3"/>
      <c r="J121" s="23" t="s">
        <v>49</v>
      </c>
      <c r="K121" s="24"/>
      <c r="L121" s="25" t="s">
        <v>10</v>
      </c>
      <c r="M121" s="26"/>
    </row>
    <row r="122" spans="1:13" ht="15.75" x14ac:dyDescent="0.25">
      <c r="A122" s="12" t="s">
        <v>50</v>
      </c>
      <c r="B122" s="12" t="s">
        <v>11</v>
      </c>
      <c r="C122" s="12"/>
      <c r="D122" s="12" t="s">
        <v>12</v>
      </c>
      <c r="E122" s="12" t="s">
        <v>45</v>
      </c>
      <c r="F122" s="12" t="s">
        <v>46</v>
      </c>
      <c r="G122" s="12" t="s">
        <v>13</v>
      </c>
      <c r="H122" s="13" t="s">
        <v>47</v>
      </c>
      <c r="I122" s="14" t="s">
        <v>48</v>
      </c>
      <c r="J122" s="13" t="s">
        <v>51</v>
      </c>
      <c r="K122" s="14" t="s">
        <v>14</v>
      </c>
      <c r="L122" s="15" t="s">
        <v>51</v>
      </c>
      <c r="M122" s="14" t="s">
        <v>14</v>
      </c>
    </row>
    <row r="123" spans="1:13" ht="15.75" x14ac:dyDescent="0.25">
      <c r="A123" s="8">
        <f>A108+L118</f>
        <v>0</v>
      </c>
      <c r="B123" s="8">
        <f>B108+M118</f>
        <v>0</v>
      </c>
      <c r="C123" s="8"/>
      <c r="D123" s="5">
        <v>5</v>
      </c>
      <c r="E123" s="16">
        <f>$A$123+$B$123*D123</f>
        <v>0</v>
      </c>
      <c r="F123" s="16">
        <f>E123</f>
        <v>0</v>
      </c>
      <c r="G123" s="17">
        <f>($C$3-E123)^2</f>
        <v>4.5796000000000001</v>
      </c>
      <c r="H123" s="18">
        <f>2*(E123-$C$3)</f>
        <v>-4.28</v>
      </c>
      <c r="I123" s="16">
        <f>EXP(E123)/(1 + EXP(E123))^2</f>
        <v>0.25</v>
      </c>
      <c r="J123" s="19">
        <v>1</v>
      </c>
      <c r="K123" s="16">
        <f>D123</f>
        <v>5</v>
      </c>
      <c r="L123" s="19">
        <f>-1*$C$14*H123*I123*J123</f>
        <v>0</v>
      </c>
      <c r="M123" s="16">
        <f>-1*$C$14*H123*I123*K123</f>
        <v>0</v>
      </c>
    </row>
    <row r="124" spans="1:13" ht="15.75" x14ac:dyDescent="0.25">
      <c r="A124" s="8"/>
      <c r="B124" s="8"/>
      <c r="C124" s="8"/>
      <c r="D124" s="5">
        <v>10</v>
      </c>
      <c r="E124" s="16">
        <f t="shared" ref="E124:E132" si="36">$A$123+$B$123*D124</f>
        <v>0</v>
      </c>
      <c r="F124" s="16">
        <f t="shared" ref="F124:F132" si="37">E124</f>
        <v>0</v>
      </c>
      <c r="G124" s="17">
        <f>($C$4-E124)^2</f>
        <v>11.424399999999999</v>
      </c>
      <c r="H124" s="18">
        <f>2*(E124-$C$4)</f>
        <v>-6.76</v>
      </c>
      <c r="I124" s="16">
        <f t="shared" ref="I124:I132" si="38">EXP(E124)/(1 + EXP(E124))^2</f>
        <v>0.25</v>
      </c>
      <c r="J124" s="19">
        <v>1</v>
      </c>
      <c r="K124" s="16">
        <f t="shared" ref="K124:K132" si="39">D124</f>
        <v>10</v>
      </c>
      <c r="L124" s="19">
        <f t="shared" ref="L124:L132" si="40">-1*$C$14*H124*I124*J124</f>
        <v>0</v>
      </c>
      <c r="M124" s="16">
        <f t="shared" ref="M124:M132" si="41">-1*$C$14*H124*I124*K124</f>
        <v>0</v>
      </c>
    </row>
    <row r="125" spans="1:13" ht="15.75" x14ac:dyDescent="0.25">
      <c r="A125" s="8"/>
      <c r="B125" s="8"/>
      <c r="C125" s="8"/>
      <c r="D125" s="5">
        <v>15</v>
      </c>
      <c r="E125" s="16">
        <f t="shared" si="36"/>
        <v>0</v>
      </c>
      <c r="F125" s="16">
        <f t="shared" si="37"/>
        <v>0</v>
      </c>
      <c r="G125" s="17">
        <f>($C$5-E125)^2</f>
        <v>14.8996</v>
      </c>
      <c r="H125" s="18">
        <f>2*(E125-$C$5)</f>
        <v>-7.72</v>
      </c>
      <c r="I125" s="16">
        <f t="shared" si="38"/>
        <v>0.25</v>
      </c>
      <c r="J125" s="19">
        <v>1</v>
      </c>
      <c r="K125" s="16">
        <f t="shared" si="39"/>
        <v>15</v>
      </c>
      <c r="L125" s="19">
        <f t="shared" si="40"/>
        <v>0</v>
      </c>
      <c r="M125" s="16">
        <f t="shared" si="41"/>
        <v>0</v>
      </c>
    </row>
    <row r="126" spans="1:13" ht="15.75" x14ac:dyDescent="0.25">
      <c r="A126" s="8"/>
      <c r="B126" s="8"/>
      <c r="C126" s="8"/>
      <c r="D126" s="5">
        <v>20</v>
      </c>
      <c r="E126" s="16">
        <f t="shared" si="36"/>
        <v>0</v>
      </c>
      <c r="F126" s="16">
        <f t="shared" si="37"/>
        <v>0</v>
      </c>
      <c r="G126" s="17">
        <f>($C$6-E126)^2</f>
        <v>20.976400000000002</v>
      </c>
      <c r="H126" s="18">
        <f>2*(E126-$C$6)</f>
        <v>-9.16</v>
      </c>
      <c r="I126" s="16">
        <f t="shared" si="38"/>
        <v>0.25</v>
      </c>
      <c r="J126" s="19">
        <v>1</v>
      </c>
      <c r="K126" s="16">
        <f t="shared" si="39"/>
        <v>20</v>
      </c>
      <c r="L126" s="19">
        <f t="shared" si="40"/>
        <v>0</v>
      </c>
      <c r="M126" s="16">
        <f t="shared" si="41"/>
        <v>0</v>
      </c>
    </row>
    <row r="127" spans="1:13" ht="15.75" x14ac:dyDescent="0.25">
      <c r="A127" s="8"/>
      <c r="B127" s="8"/>
      <c r="C127" s="8"/>
      <c r="D127" s="5">
        <v>25</v>
      </c>
      <c r="E127" s="16">
        <f t="shared" si="36"/>
        <v>0</v>
      </c>
      <c r="F127" s="16">
        <f t="shared" si="37"/>
        <v>0</v>
      </c>
      <c r="G127" s="17">
        <f>($C$7-E127)^2</f>
        <v>75.400277777777788</v>
      </c>
      <c r="H127" s="18">
        <f>2*(E127-$C$7)</f>
        <v>-17.366666666666667</v>
      </c>
      <c r="I127" s="16">
        <f t="shared" si="38"/>
        <v>0.25</v>
      </c>
      <c r="J127" s="19">
        <v>1</v>
      </c>
      <c r="K127" s="16">
        <f t="shared" si="39"/>
        <v>25</v>
      </c>
      <c r="L127" s="19">
        <f t="shared" si="40"/>
        <v>0</v>
      </c>
      <c r="M127" s="16">
        <f t="shared" si="41"/>
        <v>0</v>
      </c>
    </row>
    <row r="128" spans="1:13" ht="15.75" x14ac:dyDescent="0.25">
      <c r="A128" s="8"/>
      <c r="B128" s="8"/>
      <c r="C128" s="8"/>
      <c r="D128" s="5">
        <v>30</v>
      </c>
      <c r="E128" s="16">
        <f t="shared" si="36"/>
        <v>0</v>
      </c>
      <c r="F128" s="16">
        <f t="shared" si="37"/>
        <v>0</v>
      </c>
      <c r="G128" s="17">
        <f>($C$8-E128)^2</f>
        <v>80.281600000000012</v>
      </c>
      <c r="H128" s="18">
        <f>2*(E128-$C$8)</f>
        <v>-17.920000000000002</v>
      </c>
      <c r="I128" s="16">
        <f t="shared" si="38"/>
        <v>0.25</v>
      </c>
      <c r="J128" s="19">
        <v>1</v>
      </c>
      <c r="K128" s="16">
        <f t="shared" si="39"/>
        <v>30</v>
      </c>
      <c r="L128" s="19">
        <f t="shared" si="40"/>
        <v>0</v>
      </c>
      <c r="M128" s="16">
        <f t="shared" si="41"/>
        <v>0</v>
      </c>
    </row>
    <row r="129" spans="1:13" ht="15.75" x14ac:dyDescent="0.25">
      <c r="A129" s="8"/>
      <c r="B129" s="8"/>
      <c r="C129" s="8"/>
      <c r="D129" s="5">
        <v>35</v>
      </c>
      <c r="E129" s="16">
        <f t="shared" si="36"/>
        <v>0</v>
      </c>
      <c r="F129" s="16">
        <f t="shared" si="37"/>
        <v>0</v>
      </c>
      <c r="G129" s="17">
        <f>($C$9-E129)^2</f>
        <v>101.13654444444444</v>
      </c>
      <c r="H129" s="18">
        <f>2*(E129-$C$9)</f>
        <v>-20.113333333333333</v>
      </c>
      <c r="I129" s="16">
        <f t="shared" si="38"/>
        <v>0.25</v>
      </c>
      <c r="J129" s="19">
        <v>1</v>
      </c>
      <c r="K129" s="16">
        <f t="shared" si="39"/>
        <v>35</v>
      </c>
      <c r="L129" s="19">
        <f t="shared" si="40"/>
        <v>0</v>
      </c>
      <c r="M129" s="16">
        <f t="shared" si="41"/>
        <v>0</v>
      </c>
    </row>
    <row r="130" spans="1:13" ht="15.75" x14ac:dyDescent="0.25">
      <c r="A130" s="8"/>
      <c r="B130" s="8"/>
      <c r="C130" s="8"/>
      <c r="D130" s="5">
        <v>40</v>
      </c>
      <c r="E130" s="16">
        <f t="shared" si="36"/>
        <v>0</v>
      </c>
      <c r="F130" s="16">
        <f t="shared" si="37"/>
        <v>0</v>
      </c>
      <c r="G130" s="17">
        <f>($C$10-E130)^2</f>
        <v>168.82671111111114</v>
      </c>
      <c r="H130" s="18">
        <f>2*(E130-$C$10)</f>
        <v>-25.986666666666668</v>
      </c>
      <c r="I130" s="16">
        <f t="shared" si="38"/>
        <v>0.25</v>
      </c>
      <c r="J130" s="19">
        <v>1</v>
      </c>
      <c r="K130" s="16">
        <f t="shared" si="39"/>
        <v>40</v>
      </c>
      <c r="L130" s="19">
        <f t="shared" si="40"/>
        <v>0</v>
      </c>
      <c r="M130" s="16">
        <f t="shared" si="41"/>
        <v>0</v>
      </c>
    </row>
    <row r="131" spans="1:13" ht="15.75" x14ac:dyDescent="0.25">
      <c r="A131" s="8"/>
      <c r="B131" s="8"/>
      <c r="C131" s="8"/>
      <c r="D131" s="5">
        <v>45</v>
      </c>
      <c r="E131" s="16">
        <f t="shared" si="36"/>
        <v>0</v>
      </c>
      <c r="F131" s="16">
        <f t="shared" si="37"/>
        <v>0</v>
      </c>
      <c r="G131" s="17">
        <f>($C$11-E131)^2</f>
        <v>208.22490000000005</v>
      </c>
      <c r="H131" s="18">
        <f>2*(E131-$C$11)</f>
        <v>-28.860000000000003</v>
      </c>
      <c r="I131" s="16">
        <f t="shared" si="38"/>
        <v>0.25</v>
      </c>
      <c r="J131" s="19">
        <v>1</v>
      </c>
      <c r="K131" s="16">
        <f t="shared" si="39"/>
        <v>45</v>
      </c>
      <c r="L131" s="19">
        <f t="shared" si="40"/>
        <v>0</v>
      </c>
      <c r="M131" s="16">
        <f t="shared" si="41"/>
        <v>0</v>
      </c>
    </row>
    <row r="132" spans="1:13" ht="16.5" thickBot="1" x14ac:dyDescent="0.3">
      <c r="A132" s="20"/>
      <c r="B132" s="20"/>
      <c r="C132" s="3"/>
      <c r="D132" s="5">
        <v>50</v>
      </c>
      <c r="E132" s="16">
        <f t="shared" si="36"/>
        <v>0</v>
      </c>
      <c r="F132" s="16">
        <f t="shared" si="37"/>
        <v>0</v>
      </c>
      <c r="G132" s="17">
        <f>($C$12-E132)^2</f>
        <v>206.40111111111116</v>
      </c>
      <c r="H132" s="18">
        <f>2*(E132-$C$12)</f>
        <v>-28.733333333333338</v>
      </c>
      <c r="I132" s="16">
        <f t="shared" si="38"/>
        <v>0.25</v>
      </c>
      <c r="J132" s="19">
        <v>1</v>
      </c>
      <c r="K132" s="16">
        <f t="shared" si="39"/>
        <v>50</v>
      </c>
      <c r="L132" s="19">
        <f t="shared" si="40"/>
        <v>0</v>
      </c>
      <c r="M132" s="16">
        <f t="shared" si="41"/>
        <v>0</v>
      </c>
    </row>
    <row r="133" spans="1:13" ht="16.5" thickTop="1" x14ac:dyDescent="0.25">
      <c r="A133" s="3"/>
      <c r="B133" s="3"/>
      <c r="C133" s="3"/>
      <c r="D133" s="3"/>
      <c r="E133" s="3"/>
      <c r="F133" s="3"/>
      <c r="G133" s="21">
        <f>SUM(G123:G132)</f>
        <v>892.15114444444464</v>
      </c>
      <c r="H133" s="11"/>
      <c r="I133" s="3"/>
      <c r="J133" s="3"/>
      <c r="K133" s="3"/>
      <c r="L133" s="22">
        <f>AVERAGE(L123:L132)</f>
        <v>0</v>
      </c>
      <c r="M133" s="22">
        <f>AVERAGE(M123:M132)</f>
        <v>0</v>
      </c>
    </row>
    <row r="135" spans="1:13" x14ac:dyDescent="0.25">
      <c r="A135" s="30" t="s">
        <v>29</v>
      </c>
    </row>
    <row r="136" spans="1:13" ht="31.5" x14ac:dyDescent="0.25">
      <c r="A136" s="8" t="s">
        <v>5</v>
      </c>
      <c r="B136" s="9" t="s">
        <v>6</v>
      </c>
      <c r="C136" s="3"/>
      <c r="D136" s="8" t="s">
        <v>7</v>
      </c>
      <c r="E136" s="10" t="s">
        <v>8</v>
      </c>
      <c r="F136" s="8" t="s">
        <v>9</v>
      </c>
      <c r="G136" s="8" t="s">
        <v>4</v>
      </c>
      <c r="H136" s="11"/>
      <c r="I136" s="3"/>
      <c r="J136" s="23" t="s">
        <v>49</v>
      </c>
      <c r="K136" s="24"/>
      <c r="L136" s="25" t="s">
        <v>10</v>
      </c>
      <c r="M136" s="26"/>
    </row>
    <row r="137" spans="1:13" ht="15.75" x14ac:dyDescent="0.25">
      <c r="A137" s="12" t="s">
        <v>50</v>
      </c>
      <c r="B137" s="12" t="s">
        <v>11</v>
      </c>
      <c r="C137" s="12"/>
      <c r="D137" s="12" t="s">
        <v>12</v>
      </c>
      <c r="E137" s="12" t="s">
        <v>45</v>
      </c>
      <c r="F137" s="12" t="s">
        <v>46</v>
      </c>
      <c r="G137" s="12" t="s">
        <v>13</v>
      </c>
      <c r="H137" s="13" t="s">
        <v>47</v>
      </c>
      <c r="I137" s="14" t="s">
        <v>48</v>
      </c>
      <c r="J137" s="13" t="s">
        <v>51</v>
      </c>
      <c r="K137" s="14" t="s">
        <v>14</v>
      </c>
      <c r="L137" s="15" t="s">
        <v>51</v>
      </c>
      <c r="M137" s="14" t="s">
        <v>14</v>
      </c>
    </row>
    <row r="138" spans="1:13" ht="15.75" x14ac:dyDescent="0.25">
      <c r="A138" s="8">
        <f>A123+L133</f>
        <v>0</v>
      </c>
      <c r="B138" s="8">
        <f>B123+M133</f>
        <v>0</v>
      </c>
      <c r="C138" s="8"/>
      <c r="D138" s="5">
        <v>5</v>
      </c>
      <c r="E138" s="16">
        <f>$A$138+$B$138*D138</f>
        <v>0</v>
      </c>
      <c r="F138" s="16">
        <f>E138</f>
        <v>0</v>
      </c>
      <c r="G138" s="17">
        <f>($C$3-E138)^2</f>
        <v>4.5796000000000001</v>
      </c>
      <c r="H138" s="18">
        <f>2*(E138-$C$3)</f>
        <v>-4.28</v>
      </c>
      <c r="I138" s="16">
        <f>EXP(E138)/(1 + EXP(E138))^2</f>
        <v>0.25</v>
      </c>
      <c r="J138" s="19">
        <v>1</v>
      </c>
      <c r="K138" s="16">
        <f>D138</f>
        <v>5</v>
      </c>
      <c r="L138" s="19">
        <f>-1*$C$14*H138*I138*J138</f>
        <v>0</v>
      </c>
      <c r="M138" s="16">
        <f>-1*$C$14*H138*I138*K138</f>
        <v>0</v>
      </c>
    </row>
    <row r="139" spans="1:13" ht="15.75" x14ac:dyDescent="0.25">
      <c r="A139" s="8"/>
      <c r="B139" s="8"/>
      <c r="C139" s="8"/>
      <c r="D139" s="5">
        <v>10</v>
      </c>
      <c r="E139" s="16">
        <f t="shared" ref="E139:E147" si="42">$A$138+$B$138*D139</f>
        <v>0</v>
      </c>
      <c r="F139" s="16">
        <f t="shared" ref="F139:F147" si="43">E139</f>
        <v>0</v>
      </c>
      <c r="G139" s="17">
        <f>($C$4-E139)^2</f>
        <v>11.424399999999999</v>
      </c>
      <c r="H139" s="18">
        <f>2*(E139-$C$4)</f>
        <v>-6.76</v>
      </c>
      <c r="I139" s="16">
        <f t="shared" ref="I139:I147" si="44">EXP(E139)/(1 + EXP(E139))^2</f>
        <v>0.25</v>
      </c>
      <c r="J139" s="19">
        <v>1</v>
      </c>
      <c r="K139" s="16">
        <f t="shared" ref="K139:K147" si="45">D139</f>
        <v>10</v>
      </c>
      <c r="L139" s="19">
        <f t="shared" ref="L139:L147" si="46">-1*$C$14*H139*I139*J139</f>
        <v>0</v>
      </c>
      <c r="M139" s="16">
        <f t="shared" ref="M139:M147" si="47">-1*$C$14*H139*I139*K139</f>
        <v>0</v>
      </c>
    </row>
    <row r="140" spans="1:13" ht="15.75" x14ac:dyDescent="0.25">
      <c r="A140" s="8"/>
      <c r="B140" s="8"/>
      <c r="C140" s="8"/>
      <c r="D140" s="5">
        <v>15</v>
      </c>
      <c r="E140" s="16">
        <f t="shared" si="42"/>
        <v>0</v>
      </c>
      <c r="F140" s="16">
        <f t="shared" si="43"/>
        <v>0</v>
      </c>
      <c r="G140" s="17">
        <f>($C$5-E140)^2</f>
        <v>14.8996</v>
      </c>
      <c r="H140" s="18">
        <f>2*(E140-$C$5)</f>
        <v>-7.72</v>
      </c>
      <c r="I140" s="16">
        <f t="shared" si="44"/>
        <v>0.25</v>
      </c>
      <c r="J140" s="19">
        <v>1</v>
      </c>
      <c r="K140" s="16">
        <f t="shared" si="45"/>
        <v>15</v>
      </c>
      <c r="L140" s="19">
        <f t="shared" si="46"/>
        <v>0</v>
      </c>
      <c r="M140" s="16">
        <f t="shared" si="47"/>
        <v>0</v>
      </c>
    </row>
    <row r="141" spans="1:13" ht="15.75" x14ac:dyDescent="0.25">
      <c r="A141" s="8"/>
      <c r="B141" s="8"/>
      <c r="C141" s="8"/>
      <c r="D141" s="5">
        <v>20</v>
      </c>
      <c r="E141" s="16">
        <f t="shared" si="42"/>
        <v>0</v>
      </c>
      <c r="F141" s="16">
        <f t="shared" si="43"/>
        <v>0</v>
      </c>
      <c r="G141" s="17">
        <f>($C$6-E141)^2</f>
        <v>20.976400000000002</v>
      </c>
      <c r="H141" s="18">
        <f>2*(E141-$C$6)</f>
        <v>-9.16</v>
      </c>
      <c r="I141" s="16">
        <f t="shared" si="44"/>
        <v>0.25</v>
      </c>
      <c r="J141" s="19">
        <v>1</v>
      </c>
      <c r="K141" s="16">
        <f t="shared" si="45"/>
        <v>20</v>
      </c>
      <c r="L141" s="19">
        <f t="shared" si="46"/>
        <v>0</v>
      </c>
      <c r="M141" s="16">
        <f t="shared" si="47"/>
        <v>0</v>
      </c>
    </row>
    <row r="142" spans="1:13" ht="15.75" x14ac:dyDescent="0.25">
      <c r="A142" s="8"/>
      <c r="B142" s="8"/>
      <c r="C142" s="8"/>
      <c r="D142" s="5">
        <v>25</v>
      </c>
      <c r="E142" s="16">
        <f t="shared" si="42"/>
        <v>0</v>
      </c>
      <c r="F142" s="16">
        <f t="shared" si="43"/>
        <v>0</v>
      </c>
      <c r="G142" s="17">
        <f>($C$7-E142)^2</f>
        <v>75.400277777777788</v>
      </c>
      <c r="H142" s="18">
        <f>2*(E142-$C$7)</f>
        <v>-17.366666666666667</v>
      </c>
      <c r="I142" s="16">
        <f t="shared" si="44"/>
        <v>0.25</v>
      </c>
      <c r="J142" s="19">
        <v>1</v>
      </c>
      <c r="K142" s="16">
        <f t="shared" si="45"/>
        <v>25</v>
      </c>
      <c r="L142" s="19">
        <f t="shared" si="46"/>
        <v>0</v>
      </c>
      <c r="M142" s="16">
        <f t="shared" si="47"/>
        <v>0</v>
      </c>
    </row>
    <row r="143" spans="1:13" ht="15.75" x14ac:dyDescent="0.25">
      <c r="A143" s="8"/>
      <c r="B143" s="8"/>
      <c r="C143" s="8"/>
      <c r="D143" s="5">
        <v>30</v>
      </c>
      <c r="E143" s="16">
        <f t="shared" si="42"/>
        <v>0</v>
      </c>
      <c r="F143" s="16">
        <f t="shared" si="43"/>
        <v>0</v>
      </c>
      <c r="G143" s="17">
        <f>($C$8-E143)^2</f>
        <v>80.281600000000012</v>
      </c>
      <c r="H143" s="18">
        <f>2*(E143-$C$8)</f>
        <v>-17.920000000000002</v>
      </c>
      <c r="I143" s="16">
        <f t="shared" si="44"/>
        <v>0.25</v>
      </c>
      <c r="J143" s="19">
        <v>1</v>
      </c>
      <c r="K143" s="16">
        <f t="shared" si="45"/>
        <v>30</v>
      </c>
      <c r="L143" s="19">
        <f t="shared" si="46"/>
        <v>0</v>
      </c>
      <c r="M143" s="16">
        <f t="shared" si="47"/>
        <v>0</v>
      </c>
    </row>
    <row r="144" spans="1:13" ht="15.75" x14ac:dyDescent="0.25">
      <c r="A144" s="8"/>
      <c r="B144" s="8"/>
      <c r="C144" s="8"/>
      <c r="D144" s="5">
        <v>35</v>
      </c>
      <c r="E144" s="16">
        <f t="shared" si="42"/>
        <v>0</v>
      </c>
      <c r="F144" s="16">
        <f t="shared" si="43"/>
        <v>0</v>
      </c>
      <c r="G144" s="17">
        <f>($C$9-E144)^2</f>
        <v>101.13654444444444</v>
      </c>
      <c r="H144" s="18">
        <f>2*(E144-$C$9)</f>
        <v>-20.113333333333333</v>
      </c>
      <c r="I144" s="16">
        <f t="shared" si="44"/>
        <v>0.25</v>
      </c>
      <c r="J144" s="19">
        <v>1</v>
      </c>
      <c r="K144" s="16">
        <f t="shared" si="45"/>
        <v>35</v>
      </c>
      <c r="L144" s="19">
        <f t="shared" si="46"/>
        <v>0</v>
      </c>
      <c r="M144" s="16">
        <f t="shared" si="47"/>
        <v>0</v>
      </c>
    </row>
    <row r="145" spans="1:13" ht="15.75" x14ac:dyDescent="0.25">
      <c r="A145" s="8"/>
      <c r="B145" s="8"/>
      <c r="C145" s="8"/>
      <c r="D145" s="5">
        <v>40</v>
      </c>
      <c r="E145" s="16">
        <f t="shared" si="42"/>
        <v>0</v>
      </c>
      <c r="F145" s="16">
        <f t="shared" si="43"/>
        <v>0</v>
      </c>
      <c r="G145" s="17">
        <f>($C$10-E145)^2</f>
        <v>168.82671111111114</v>
      </c>
      <c r="H145" s="18">
        <f>2*(E145-$C$10)</f>
        <v>-25.986666666666668</v>
      </c>
      <c r="I145" s="16">
        <f t="shared" si="44"/>
        <v>0.25</v>
      </c>
      <c r="J145" s="19">
        <v>1</v>
      </c>
      <c r="K145" s="16">
        <f t="shared" si="45"/>
        <v>40</v>
      </c>
      <c r="L145" s="19">
        <f t="shared" si="46"/>
        <v>0</v>
      </c>
      <c r="M145" s="16">
        <f t="shared" si="47"/>
        <v>0</v>
      </c>
    </row>
    <row r="146" spans="1:13" ht="15.75" x14ac:dyDescent="0.25">
      <c r="A146" s="8"/>
      <c r="B146" s="8"/>
      <c r="C146" s="8"/>
      <c r="D146" s="5">
        <v>45</v>
      </c>
      <c r="E146" s="16">
        <f t="shared" si="42"/>
        <v>0</v>
      </c>
      <c r="F146" s="16">
        <f t="shared" si="43"/>
        <v>0</v>
      </c>
      <c r="G146" s="17">
        <f>($C$11-E146)^2</f>
        <v>208.22490000000005</v>
      </c>
      <c r="H146" s="18">
        <f>2*(E146-$C$11)</f>
        <v>-28.860000000000003</v>
      </c>
      <c r="I146" s="16">
        <f t="shared" si="44"/>
        <v>0.25</v>
      </c>
      <c r="J146" s="19">
        <v>1</v>
      </c>
      <c r="K146" s="16">
        <f t="shared" si="45"/>
        <v>45</v>
      </c>
      <c r="L146" s="19">
        <f t="shared" si="46"/>
        <v>0</v>
      </c>
      <c r="M146" s="16">
        <f t="shared" si="47"/>
        <v>0</v>
      </c>
    </row>
    <row r="147" spans="1:13" ht="16.5" thickBot="1" x14ac:dyDescent="0.3">
      <c r="A147" s="20"/>
      <c r="B147" s="20"/>
      <c r="C147" s="3"/>
      <c r="D147" s="5">
        <v>50</v>
      </c>
      <c r="E147" s="16">
        <f t="shared" si="42"/>
        <v>0</v>
      </c>
      <c r="F147" s="16">
        <f t="shared" si="43"/>
        <v>0</v>
      </c>
      <c r="G147" s="17">
        <f>($C$12-E147)^2</f>
        <v>206.40111111111116</v>
      </c>
      <c r="H147" s="18">
        <f>2*(E147-$C$12)</f>
        <v>-28.733333333333338</v>
      </c>
      <c r="I147" s="16">
        <f t="shared" si="44"/>
        <v>0.25</v>
      </c>
      <c r="J147" s="19">
        <v>1</v>
      </c>
      <c r="K147" s="16">
        <f t="shared" si="45"/>
        <v>50</v>
      </c>
      <c r="L147" s="19">
        <f t="shared" si="46"/>
        <v>0</v>
      </c>
      <c r="M147" s="16">
        <f t="shared" si="47"/>
        <v>0</v>
      </c>
    </row>
    <row r="148" spans="1:13" ht="16.5" thickTop="1" x14ac:dyDescent="0.25">
      <c r="A148" s="3"/>
      <c r="B148" s="3"/>
      <c r="C148" s="3"/>
      <c r="D148" s="3"/>
      <c r="E148" s="3"/>
      <c r="F148" s="3"/>
      <c r="G148" s="21">
        <f>SUM(G138:G147)</f>
        <v>892.15114444444464</v>
      </c>
      <c r="H148" s="11"/>
      <c r="I148" s="3"/>
      <c r="J148" s="3"/>
      <c r="K148" s="3"/>
      <c r="L148" s="22">
        <f>AVERAGE(L138:L147)</f>
        <v>0</v>
      </c>
      <c r="M148" s="22">
        <f>AVERAGE(M138:M147)</f>
        <v>0</v>
      </c>
    </row>
    <row r="150" spans="1:13" x14ac:dyDescent="0.25">
      <c r="A150" s="30" t="s">
        <v>30</v>
      </c>
    </row>
    <row r="151" spans="1:13" ht="31.5" x14ac:dyDescent="0.25">
      <c r="A151" s="8" t="s">
        <v>5</v>
      </c>
      <c r="B151" s="9" t="s">
        <v>6</v>
      </c>
      <c r="C151" s="3"/>
      <c r="D151" s="8" t="s">
        <v>7</v>
      </c>
      <c r="E151" s="10" t="s">
        <v>8</v>
      </c>
      <c r="F151" s="8" t="s">
        <v>9</v>
      </c>
      <c r="G151" s="8" t="s">
        <v>4</v>
      </c>
      <c r="H151" s="11"/>
      <c r="I151" s="3"/>
      <c r="J151" s="23" t="s">
        <v>49</v>
      </c>
      <c r="K151" s="24"/>
      <c r="L151" s="25" t="s">
        <v>10</v>
      </c>
      <c r="M151" s="26"/>
    </row>
    <row r="152" spans="1:13" ht="15.75" x14ac:dyDescent="0.25">
      <c r="A152" s="12" t="s">
        <v>50</v>
      </c>
      <c r="B152" s="12" t="s">
        <v>11</v>
      </c>
      <c r="C152" s="12"/>
      <c r="D152" s="12" t="s">
        <v>12</v>
      </c>
      <c r="E152" s="12" t="s">
        <v>45</v>
      </c>
      <c r="F152" s="12" t="s">
        <v>46</v>
      </c>
      <c r="G152" s="12" t="s">
        <v>13</v>
      </c>
      <c r="H152" s="13" t="s">
        <v>47</v>
      </c>
      <c r="I152" s="14" t="s">
        <v>48</v>
      </c>
      <c r="J152" s="13" t="s">
        <v>51</v>
      </c>
      <c r="K152" s="14" t="s">
        <v>14</v>
      </c>
      <c r="L152" s="15" t="s">
        <v>51</v>
      </c>
      <c r="M152" s="14" t="s">
        <v>14</v>
      </c>
    </row>
    <row r="153" spans="1:13" ht="15.75" x14ac:dyDescent="0.25">
      <c r="A153" s="8">
        <f>A138+L148</f>
        <v>0</v>
      </c>
      <c r="B153" s="8">
        <f>B138+M148</f>
        <v>0</v>
      </c>
      <c r="C153" s="8"/>
      <c r="D153" s="5">
        <v>5</v>
      </c>
      <c r="E153" s="16">
        <f>$A$153+$B$153*D153</f>
        <v>0</v>
      </c>
      <c r="F153" s="16">
        <f>E153</f>
        <v>0</v>
      </c>
      <c r="G153" s="17">
        <f>($C$3-E153)^2</f>
        <v>4.5796000000000001</v>
      </c>
      <c r="H153" s="18">
        <f>2*(E153-$C$3)</f>
        <v>-4.28</v>
      </c>
      <c r="I153" s="16">
        <f>EXP(E153)/(1 + EXP(E153))^2</f>
        <v>0.25</v>
      </c>
      <c r="J153" s="19">
        <v>1</v>
      </c>
      <c r="K153" s="16">
        <f>D153</f>
        <v>5</v>
      </c>
      <c r="L153" s="19">
        <f>-1*$C$14*H153*I153*J153</f>
        <v>0</v>
      </c>
      <c r="M153" s="16">
        <f>-1*$C$14*H153*I153*K153</f>
        <v>0</v>
      </c>
    </row>
    <row r="154" spans="1:13" ht="15.75" x14ac:dyDescent="0.25">
      <c r="A154" s="8"/>
      <c r="B154" s="8"/>
      <c r="C154" s="8"/>
      <c r="D154" s="5">
        <v>10</v>
      </c>
      <c r="E154" s="16">
        <f t="shared" ref="E154:E162" si="48">$A$153+$B$153*D154</f>
        <v>0</v>
      </c>
      <c r="F154" s="16">
        <f t="shared" ref="F154:F162" si="49">E154</f>
        <v>0</v>
      </c>
      <c r="G154" s="17">
        <f>($C$4-E154)^2</f>
        <v>11.424399999999999</v>
      </c>
      <c r="H154" s="18">
        <f>2*(E154-$C$4)</f>
        <v>-6.76</v>
      </c>
      <c r="I154" s="16">
        <f t="shared" ref="I154:I162" si="50">EXP(E154)/(1 + EXP(E154))^2</f>
        <v>0.25</v>
      </c>
      <c r="J154" s="19">
        <v>1</v>
      </c>
      <c r="K154" s="16">
        <f t="shared" ref="K154:K162" si="51">D154</f>
        <v>10</v>
      </c>
      <c r="L154" s="19">
        <f t="shared" ref="L154:L162" si="52">-1*$C$14*H154*I154*J154</f>
        <v>0</v>
      </c>
      <c r="M154" s="16">
        <f t="shared" ref="M154:M162" si="53">-1*$C$14*H154*I154*K154</f>
        <v>0</v>
      </c>
    </row>
    <row r="155" spans="1:13" ht="15.75" x14ac:dyDescent="0.25">
      <c r="A155" s="8"/>
      <c r="B155" s="8"/>
      <c r="C155" s="8"/>
      <c r="D155" s="5">
        <v>15</v>
      </c>
      <c r="E155" s="16">
        <f t="shared" si="48"/>
        <v>0</v>
      </c>
      <c r="F155" s="16">
        <f t="shared" si="49"/>
        <v>0</v>
      </c>
      <c r="G155" s="17">
        <f>($C$5-E155)^2</f>
        <v>14.8996</v>
      </c>
      <c r="H155" s="18">
        <f>2*(E155-$C$5)</f>
        <v>-7.72</v>
      </c>
      <c r="I155" s="16">
        <f t="shared" si="50"/>
        <v>0.25</v>
      </c>
      <c r="J155" s="19">
        <v>1</v>
      </c>
      <c r="K155" s="16">
        <f t="shared" si="51"/>
        <v>15</v>
      </c>
      <c r="L155" s="19">
        <f t="shared" si="52"/>
        <v>0</v>
      </c>
      <c r="M155" s="16">
        <f t="shared" si="53"/>
        <v>0</v>
      </c>
    </row>
    <row r="156" spans="1:13" ht="15.75" x14ac:dyDescent="0.25">
      <c r="A156" s="8"/>
      <c r="B156" s="8"/>
      <c r="C156" s="8"/>
      <c r="D156" s="5">
        <v>20</v>
      </c>
      <c r="E156" s="16">
        <f t="shared" si="48"/>
        <v>0</v>
      </c>
      <c r="F156" s="16">
        <f t="shared" si="49"/>
        <v>0</v>
      </c>
      <c r="G156" s="17">
        <f>($C$6-E156)^2</f>
        <v>20.976400000000002</v>
      </c>
      <c r="H156" s="18">
        <f>2*(E156-$C$6)</f>
        <v>-9.16</v>
      </c>
      <c r="I156" s="16">
        <f t="shared" si="50"/>
        <v>0.25</v>
      </c>
      <c r="J156" s="19">
        <v>1</v>
      </c>
      <c r="K156" s="16">
        <f t="shared" si="51"/>
        <v>20</v>
      </c>
      <c r="L156" s="19">
        <f t="shared" si="52"/>
        <v>0</v>
      </c>
      <c r="M156" s="16">
        <f t="shared" si="53"/>
        <v>0</v>
      </c>
    </row>
    <row r="157" spans="1:13" ht="15.75" x14ac:dyDescent="0.25">
      <c r="A157" s="8"/>
      <c r="B157" s="8"/>
      <c r="C157" s="8"/>
      <c r="D157" s="5">
        <v>25</v>
      </c>
      <c r="E157" s="16">
        <f t="shared" si="48"/>
        <v>0</v>
      </c>
      <c r="F157" s="16">
        <f t="shared" si="49"/>
        <v>0</v>
      </c>
      <c r="G157" s="17">
        <f>($C$7-E157)^2</f>
        <v>75.400277777777788</v>
      </c>
      <c r="H157" s="18">
        <f>2*(E157-$C$7)</f>
        <v>-17.366666666666667</v>
      </c>
      <c r="I157" s="16">
        <f t="shared" si="50"/>
        <v>0.25</v>
      </c>
      <c r="J157" s="19">
        <v>1</v>
      </c>
      <c r="K157" s="16">
        <f t="shared" si="51"/>
        <v>25</v>
      </c>
      <c r="L157" s="19">
        <f t="shared" si="52"/>
        <v>0</v>
      </c>
      <c r="M157" s="16">
        <f t="shared" si="53"/>
        <v>0</v>
      </c>
    </row>
    <row r="158" spans="1:13" ht="15.75" x14ac:dyDescent="0.25">
      <c r="A158" s="8"/>
      <c r="B158" s="8"/>
      <c r="C158" s="8"/>
      <c r="D158" s="5">
        <v>30</v>
      </c>
      <c r="E158" s="16">
        <f>$A$153+$B$153*D158</f>
        <v>0</v>
      </c>
      <c r="F158" s="16">
        <f t="shared" si="49"/>
        <v>0</v>
      </c>
      <c r="G158" s="17">
        <f>($C$8-E158)^2</f>
        <v>80.281600000000012</v>
      </c>
      <c r="H158" s="18">
        <f>2*(E158-$C$8)</f>
        <v>-17.920000000000002</v>
      </c>
      <c r="I158" s="16">
        <f t="shared" si="50"/>
        <v>0.25</v>
      </c>
      <c r="J158" s="19">
        <v>1</v>
      </c>
      <c r="K158" s="16">
        <f t="shared" si="51"/>
        <v>30</v>
      </c>
      <c r="L158" s="19">
        <f t="shared" si="52"/>
        <v>0</v>
      </c>
      <c r="M158" s="16">
        <f t="shared" si="53"/>
        <v>0</v>
      </c>
    </row>
    <row r="159" spans="1:13" ht="15.75" x14ac:dyDescent="0.25">
      <c r="A159" s="8"/>
      <c r="B159" s="8"/>
      <c r="C159" s="8"/>
      <c r="D159" s="5">
        <v>35</v>
      </c>
      <c r="E159" s="16">
        <f t="shared" si="48"/>
        <v>0</v>
      </c>
      <c r="F159" s="16">
        <f t="shared" si="49"/>
        <v>0</v>
      </c>
      <c r="G159" s="17">
        <f>($C$9-E159)^2</f>
        <v>101.13654444444444</v>
      </c>
      <c r="H159" s="18">
        <f>2*(E159-$C$9)</f>
        <v>-20.113333333333333</v>
      </c>
      <c r="I159" s="16">
        <f t="shared" si="50"/>
        <v>0.25</v>
      </c>
      <c r="J159" s="19">
        <v>1</v>
      </c>
      <c r="K159" s="16">
        <f t="shared" si="51"/>
        <v>35</v>
      </c>
      <c r="L159" s="19">
        <f t="shared" si="52"/>
        <v>0</v>
      </c>
      <c r="M159" s="16">
        <f t="shared" si="53"/>
        <v>0</v>
      </c>
    </row>
    <row r="160" spans="1:13" ht="15.75" x14ac:dyDescent="0.25">
      <c r="A160" s="8"/>
      <c r="B160" s="8"/>
      <c r="C160" s="8"/>
      <c r="D160" s="5">
        <v>40</v>
      </c>
      <c r="E160" s="16">
        <f t="shared" si="48"/>
        <v>0</v>
      </c>
      <c r="F160" s="16">
        <f t="shared" si="49"/>
        <v>0</v>
      </c>
      <c r="G160" s="17">
        <f>($C$10-E160)^2</f>
        <v>168.82671111111114</v>
      </c>
      <c r="H160" s="18">
        <f>2*(E160-$C$10)</f>
        <v>-25.986666666666668</v>
      </c>
      <c r="I160" s="16">
        <f t="shared" si="50"/>
        <v>0.25</v>
      </c>
      <c r="J160" s="19">
        <v>1</v>
      </c>
      <c r="K160" s="16">
        <f t="shared" si="51"/>
        <v>40</v>
      </c>
      <c r="L160" s="19">
        <f t="shared" si="52"/>
        <v>0</v>
      </c>
      <c r="M160" s="16">
        <f t="shared" si="53"/>
        <v>0</v>
      </c>
    </row>
    <row r="161" spans="1:13" ht="15.75" x14ac:dyDescent="0.25">
      <c r="A161" s="8"/>
      <c r="B161" s="8"/>
      <c r="C161" s="8"/>
      <c r="D161" s="5">
        <v>45</v>
      </c>
      <c r="E161" s="16">
        <f t="shared" si="48"/>
        <v>0</v>
      </c>
      <c r="F161" s="16">
        <f t="shared" si="49"/>
        <v>0</v>
      </c>
      <c r="G161" s="17">
        <f>($C$11-E161)^2</f>
        <v>208.22490000000005</v>
      </c>
      <c r="H161" s="18">
        <f>2*(E161-$C$11)</f>
        <v>-28.860000000000003</v>
      </c>
      <c r="I161" s="16">
        <f t="shared" si="50"/>
        <v>0.25</v>
      </c>
      <c r="J161" s="19">
        <v>1</v>
      </c>
      <c r="K161" s="16">
        <f t="shared" si="51"/>
        <v>45</v>
      </c>
      <c r="L161" s="19">
        <f t="shared" si="52"/>
        <v>0</v>
      </c>
      <c r="M161" s="16">
        <f t="shared" si="53"/>
        <v>0</v>
      </c>
    </row>
    <row r="162" spans="1:13" ht="16.5" thickBot="1" x14ac:dyDescent="0.3">
      <c r="A162" s="20"/>
      <c r="B162" s="20"/>
      <c r="C162" s="3"/>
      <c r="D162" s="5">
        <v>50</v>
      </c>
      <c r="E162" s="16">
        <f t="shared" si="48"/>
        <v>0</v>
      </c>
      <c r="F162" s="16">
        <f t="shared" si="49"/>
        <v>0</v>
      </c>
      <c r="G162" s="17">
        <f>($C$12-E162)^2</f>
        <v>206.40111111111116</v>
      </c>
      <c r="H162" s="18">
        <f>2*(E162-$C$12)</f>
        <v>-28.733333333333338</v>
      </c>
      <c r="I162" s="16">
        <f t="shared" si="50"/>
        <v>0.25</v>
      </c>
      <c r="J162" s="19">
        <v>1</v>
      </c>
      <c r="K162" s="16">
        <f t="shared" si="51"/>
        <v>50</v>
      </c>
      <c r="L162" s="19">
        <f t="shared" si="52"/>
        <v>0</v>
      </c>
      <c r="M162" s="16">
        <f t="shared" si="53"/>
        <v>0</v>
      </c>
    </row>
    <row r="163" spans="1:13" ht="16.5" thickTop="1" x14ac:dyDescent="0.25">
      <c r="A163" s="3"/>
      <c r="B163" s="3"/>
      <c r="C163" s="3"/>
      <c r="D163" s="3"/>
      <c r="E163" s="3"/>
      <c r="F163" s="3"/>
      <c r="G163" s="21">
        <f>SUM(G153:G162)</f>
        <v>892.15114444444464</v>
      </c>
      <c r="H163" s="11"/>
      <c r="I163" s="3"/>
      <c r="J163" s="3"/>
      <c r="K163" s="3"/>
      <c r="L163" s="22">
        <f>AVERAGE(L153:L162)</f>
        <v>0</v>
      </c>
      <c r="M163" s="22">
        <f>AVERAGE(M153:M162)</f>
        <v>0</v>
      </c>
    </row>
    <row r="165" spans="1:13" x14ac:dyDescent="0.25">
      <c r="A165" s="30" t="s">
        <v>31</v>
      </c>
    </row>
    <row r="166" spans="1:13" ht="31.5" x14ac:dyDescent="0.25">
      <c r="A166" s="8" t="s">
        <v>5</v>
      </c>
      <c r="B166" s="9" t="s">
        <v>6</v>
      </c>
      <c r="C166" s="3"/>
      <c r="D166" s="8" t="s">
        <v>7</v>
      </c>
      <c r="E166" s="10" t="s">
        <v>8</v>
      </c>
      <c r="F166" s="8" t="s">
        <v>9</v>
      </c>
      <c r="G166" s="8" t="s">
        <v>4</v>
      </c>
      <c r="H166" s="11"/>
      <c r="I166" s="3"/>
      <c r="J166" s="23" t="s">
        <v>49</v>
      </c>
      <c r="K166" s="24"/>
      <c r="L166" s="25" t="s">
        <v>10</v>
      </c>
      <c r="M166" s="26"/>
    </row>
    <row r="167" spans="1:13" ht="15.75" x14ac:dyDescent="0.25">
      <c r="A167" s="12" t="s">
        <v>50</v>
      </c>
      <c r="B167" s="12" t="s">
        <v>11</v>
      </c>
      <c r="C167" s="12"/>
      <c r="D167" s="12" t="s">
        <v>12</v>
      </c>
      <c r="E167" s="12" t="s">
        <v>45</v>
      </c>
      <c r="F167" s="12" t="s">
        <v>46</v>
      </c>
      <c r="G167" s="12" t="s">
        <v>13</v>
      </c>
      <c r="H167" s="13" t="s">
        <v>47</v>
      </c>
      <c r="I167" s="14" t="s">
        <v>48</v>
      </c>
      <c r="J167" s="13" t="s">
        <v>51</v>
      </c>
      <c r="K167" s="14" t="s">
        <v>14</v>
      </c>
      <c r="L167" s="15" t="s">
        <v>51</v>
      </c>
      <c r="M167" s="14" t="s">
        <v>14</v>
      </c>
    </row>
    <row r="168" spans="1:13" ht="15.75" x14ac:dyDescent="0.25">
      <c r="A168" s="8">
        <f>A153+L163</f>
        <v>0</v>
      </c>
      <c r="B168" s="8">
        <f>B153+M163</f>
        <v>0</v>
      </c>
      <c r="C168" s="8"/>
      <c r="D168" s="5">
        <v>5</v>
      </c>
      <c r="E168" s="16">
        <f>$A$168+$B$168*D168</f>
        <v>0</v>
      </c>
      <c r="F168" s="16">
        <f>E168</f>
        <v>0</v>
      </c>
      <c r="G168" s="17">
        <f>($C$3-E168)^2</f>
        <v>4.5796000000000001</v>
      </c>
      <c r="H168" s="18">
        <f>2*(E168-$C$3)</f>
        <v>-4.28</v>
      </c>
      <c r="I168" s="16">
        <f>EXP(E168)/(1 + EXP(E168))^2</f>
        <v>0.25</v>
      </c>
      <c r="J168" s="19">
        <v>1</v>
      </c>
      <c r="K168" s="16">
        <f>D168</f>
        <v>5</v>
      </c>
      <c r="L168" s="19">
        <f>-1*$C$14*H168*I168*J168</f>
        <v>0</v>
      </c>
      <c r="M168" s="16">
        <f>-1*$C$14*H168*I168*K168</f>
        <v>0</v>
      </c>
    </row>
    <row r="169" spans="1:13" ht="15.75" x14ac:dyDescent="0.25">
      <c r="A169" s="8"/>
      <c r="B169" s="8"/>
      <c r="C169" s="8"/>
      <c r="D169" s="5">
        <v>10</v>
      </c>
      <c r="E169" s="16">
        <f t="shared" ref="E169:E177" si="54">$A$168+$B$168*D169</f>
        <v>0</v>
      </c>
      <c r="F169" s="16">
        <f t="shared" ref="F169:F177" si="55">E169</f>
        <v>0</v>
      </c>
      <c r="G169" s="17">
        <f>($C$4-E169)^2</f>
        <v>11.424399999999999</v>
      </c>
      <c r="H169" s="18">
        <f>2*(E169-$C$4)</f>
        <v>-6.76</v>
      </c>
      <c r="I169" s="16">
        <f t="shared" ref="I169:I177" si="56">EXP(E169)/(1 + EXP(E169))^2</f>
        <v>0.25</v>
      </c>
      <c r="J169" s="19">
        <v>1</v>
      </c>
      <c r="K169" s="16">
        <f t="shared" ref="K169:K177" si="57">D169</f>
        <v>10</v>
      </c>
      <c r="L169" s="19">
        <f t="shared" ref="L169:L177" si="58">-1*$C$14*H169*I169*J169</f>
        <v>0</v>
      </c>
      <c r="M169" s="16">
        <f t="shared" ref="M169:M177" si="59">-1*$C$14*H169*I169*K169</f>
        <v>0</v>
      </c>
    </row>
    <row r="170" spans="1:13" ht="15.75" x14ac:dyDescent="0.25">
      <c r="A170" s="8"/>
      <c r="B170" s="8"/>
      <c r="C170" s="8"/>
      <c r="D170" s="5">
        <v>15</v>
      </c>
      <c r="E170" s="16">
        <f t="shared" si="54"/>
        <v>0</v>
      </c>
      <c r="F170" s="16">
        <f t="shared" si="55"/>
        <v>0</v>
      </c>
      <c r="G170" s="17">
        <f>($C$5-E170)^2</f>
        <v>14.8996</v>
      </c>
      <c r="H170" s="18">
        <f>2*(E170-$C$5)</f>
        <v>-7.72</v>
      </c>
      <c r="I170" s="16">
        <f t="shared" si="56"/>
        <v>0.25</v>
      </c>
      <c r="J170" s="19">
        <v>1</v>
      </c>
      <c r="K170" s="16">
        <f t="shared" si="57"/>
        <v>15</v>
      </c>
      <c r="L170" s="19">
        <f t="shared" si="58"/>
        <v>0</v>
      </c>
      <c r="M170" s="16">
        <f t="shared" si="59"/>
        <v>0</v>
      </c>
    </row>
    <row r="171" spans="1:13" ht="15.75" x14ac:dyDescent="0.25">
      <c r="A171" s="8"/>
      <c r="B171" s="8"/>
      <c r="C171" s="8"/>
      <c r="D171" s="5">
        <v>20</v>
      </c>
      <c r="E171" s="16">
        <f t="shared" si="54"/>
        <v>0</v>
      </c>
      <c r="F171" s="16">
        <f t="shared" si="55"/>
        <v>0</v>
      </c>
      <c r="G171" s="17">
        <f>($C$6-E171)^2</f>
        <v>20.976400000000002</v>
      </c>
      <c r="H171" s="18">
        <f>2*(E171-$C$6)</f>
        <v>-9.16</v>
      </c>
      <c r="I171" s="16">
        <f t="shared" si="56"/>
        <v>0.25</v>
      </c>
      <c r="J171" s="19">
        <v>1</v>
      </c>
      <c r="K171" s="16">
        <f t="shared" si="57"/>
        <v>20</v>
      </c>
      <c r="L171" s="19">
        <f t="shared" si="58"/>
        <v>0</v>
      </c>
      <c r="M171" s="16">
        <f t="shared" si="59"/>
        <v>0</v>
      </c>
    </row>
    <row r="172" spans="1:13" ht="15.75" x14ac:dyDescent="0.25">
      <c r="A172" s="8"/>
      <c r="B172" s="8"/>
      <c r="C172" s="8"/>
      <c r="D172" s="5">
        <v>25</v>
      </c>
      <c r="E172" s="16">
        <f t="shared" si="54"/>
        <v>0</v>
      </c>
      <c r="F172" s="16">
        <f t="shared" si="55"/>
        <v>0</v>
      </c>
      <c r="G172" s="17">
        <f>($C$7-E172)^2</f>
        <v>75.400277777777788</v>
      </c>
      <c r="H172" s="18">
        <f>2*(E172-$C$7)</f>
        <v>-17.366666666666667</v>
      </c>
      <c r="I172" s="16">
        <f t="shared" si="56"/>
        <v>0.25</v>
      </c>
      <c r="J172" s="19">
        <v>1</v>
      </c>
      <c r="K172" s="16">
        <f t="shared" si="57"/>
        <v>25</v>
      </c>
      <c r="L172" s="19">
        <f t="shared" si="58"/>
        <v>0</v>
      </c>
      <c r="M172" s="16">
        <f t="shared" si="59"/>
        <v>0</v>
      </c>
    </row>
    <row r="173" spans="1:13" ht="15.75" x14ac:dyDescent="0.25">
      <c r="A173" s="8"/>
      <c r="B173" s="8"/>
      <c r="C173" s="8"/>
      <c r="D173" s="5">
        <v>30</v>
      </c>
      <c r="E173" s="16">
        <f t="shared" si="54"/>
        <v>0</v>
      </c>
      <c r="F173" s="16">
        <f t="shared" si="55"/>
        <v>0</v>
      </c>
      <c r="G173" s="17">
        <f>($C$8-E173)^2</f>
        <v>80.281600000000012</v>
      </c>
      <c r="H173" s="18">
        <f>2*(E173-$C$8)</f>
        <v>-17.920000000000002</v>
      </c>
      <c r="I173" s="16">
        <f t="shared" si="56"/>
        <v>0.25</v>
      </c>
      <c r="J173" s="19">
        <v>1</v>
      </c>
      <c r="K173" s="16">
        <f t="shared" si="57"/>
        <v>30</v>
      </c>
      <c r="L173" s="19">
        <f t="shared" si="58"/>
        <v>0</v>
      </c>
      <c r="M173" s="16">
        <f t="shared" si="59"/>
        <v>0</v>
      </c>
    </row>
    <row r="174" spans="1:13" ht="15.75" x14ac:dyDescent="0.25">
      <c r="A174" s="8"/>
      <c r="B174" s="8"/>
      <c r="C174" s="8"/>
      <c r="D174" s="5">
        <v>35</v>
      </c>
      <c r="E174" s="16">
        <f t="shared" si="54"/>
        <v>0</v>
      </c>
      <c r="F174" s="16">
        <f t="shared" si="55"/>
        <v>0</v>
      </c>
      <c r="G174" s="17">
        <f>($C$9-E174)^2</f>
        <v>101.13654444444444</v>
      </c>
      <c r="H174" s="18">
        <f>2*(E174-$C$9)</f>
        <v>-20.113333333333333</v>
      </c>
      <c r="I174" s="16">
        <f t="shared" si="56"/>
        <v>0.25</v>
      </c>
      <c r="J174" s="19">
        <v>1</v>
      </c>
      <c r="K174" s="16">
        <f t="shared" si="57"/>
        <v>35</v>
      </c>
      <c r="L174" s="19">
        <f t="shared" si="58"/>
        <v>0</v>
      </c>
      <c r="M174" s="16">
        <f t="shared" si="59"/>
        <v>0</v>
      </c>
    </row>
    <row r="175" spans="1:13" ht="15.75" x14ac:dyDescent="0.25">
      <c r="A175" s="8"/>
      <c r="B175" s="8"/>
      <c r="C175" s="8"/>
      <c r="D175" s="5">
        <v>40</v>
      </c>
      <c r="E175" s="16">
        <f t="shared" si="54"/>
        <v>0</v>
      </c>
      <c r="F175" s="16">
        <f t="shared" si="55"/>
        <v>0</v>
      </c>
      <c r="G175" s="17">
        <f>($C$10-E175)^2</f>
        <v>168.82671111111114</v>
      </c>
      <c r="H175" s="18">
        <f>2*(E175-$C$10)</f>
        <v>-25.986666666666668</v>
      </c>
      <c r="I175" s="16">
        <f t="shared" si="56"/>
        <v>0.25</v>
      </c>
      <c r="J175" s="19">
        <v>1</v>
      </c>
      <c r="K175" s="16">
        <f t="shared" si="57"/>
        <v>40</v>
      </c>
      <c r="L175" s="19">
        <f t="shared" si="58"/>
        <v>0</v>
      </c>
      <c r="M175" s="16">
        <f t="shared" si="59"/>
        <v>0</v>
      </c>
    </row>
    <row r="176" spans="1:13" ht="15.75" x14ac:dyDescent="0.25">
      <c r="A176" s="8"/>
      <c r="B176" s="8"/>
      <c r="C176" s="8"/>
      <c r="D176" s="5">
        <v>45</v>
      </c>
      <c r="E176" s="16">
        <f t="shared" si="54"/>
        <v>0</v>
      </c>
      <c r="F176" s="16">
        <f t="shared" si="55"/>
        <v>0</v>
      </c>
      <c r="G176" s="17">
        <f>($C$11-E176)^2</f>
        <v>208.22490000000005</v>
      </c>
      <c r="H176" s="18">
        <f>2*(E176-$C$11)</f>
        <v>-28.860000000000003</v>
      </c>
      <c r="I176" s="16">
        <f t="shared" si="56"/>
        <v>0.25</v>
      </c>
      <c r="J176" s="19">
        <v>1</v>
      </c>
      <c r="K176" s="16">
        <f t="shared" si="57"/>
        <v>45</v>
      </c>
      <c r="L176" s="19">
        <f t="shared" si="58"/>
        <v>0</v>
      </c>
      <c r="M176" s="16">
        <f t="shared" si="59"/>
        <v>0</v>
      </c>
    </row>
    <row r="177" spans="1:13" ht="16.5" thickBot="1" x14ac:dyDescent="0.3">
      <c r="A177" s="20"/>
      <c r="B177" s="20"/>
      <c r="C177" s="3"/>
      <c r="D177" s="5">
        <v>50</v>
      </c>
      <c r="E177" s="16">
        <f t="shared" si="54"/>
        <v>0</v>
      </c>
      <c r="F177" s="16">
        <f t="shared" si="55"/>
        <v>0</v>
      </c>
      <c r="G177" s="17">
        <f>($C$12-E177)^2</f>
        <v>206.40111111111116</v>
      </c>
      <c r="H177" s="18">
        <f>2*(E177-$C$12)</f>
        <v>-28.733333333333338</v>
      </c>
      <c r="I177" s="16">
        <f t="shared" si="56"/>
        <v>0.25</v>
      </c>
      <c r="J177" s="19">
        <v>1</v>
      </c>
      <c r="K177" s="16">
        <f t="shared" si="57"/>
        <v>50</v>
      </c>
      <c r="L177" s="19">
        <f t="shared" si="58"/>
        <v>0</v>
      </c>
      <c r="M177" s="16">
        <f t="shared" si="59"/>
        <v>0</v>
      </c>
    </row>
    <row r="178" spans="1:13" ht="16.5" thickTop="1" x14ac:dyDescent="0.25">
      <c r="A178" s="3"/>
      <c r="B178" s="3"/>
      <c r="C178" s="3"/>
      <c r="D178" s="3"/>
      <c r="E178" s="3"/>
      <c r="F178" s="3"/>
      <c r="G178" s="21">
        <f>SUM(G168:G177)</f>
        <v>892.15114444444464</v>
      </c>
      <c r="H178" s="11"/>
      <c r="I178" s="3"/>
      <c r="J178" s="3"/>
      <c r="K178" s="3"/>
      <c r="L178" s="22">
        <f>AVERAGE(L168:L177)</f>
        <v>0</v>
      </c>
      <c r="M178" s="22">
        <f>AVERAGE(M168:M177)</f>
        <v>0</v>
      </c>
    </row>
    <row r="180" spans="1:13" x14ac:dyDescent="0.25">
      <c r="A180" s="30" t="s">
        <v>32</v>
      </c>
    </row>
    <row r="181" spans="1:13" ht="31.5" x14ac:dyDescent="0.25">
      <c r="A181" s="8" t="s">
        <v>5</v>
      </c>
      <c r="B181" s="9" t="s">
        <v>6</v>
      </c>
      <c r="C181" s="3"/>
      <c r="D181" s="8" t="s">
        <v>7</v>
      </c>
      <c r="E181" s="10" t="s">
        <v>8</v>
      </c>
      <c r="F181" s="8" t="s">
        <v>9</v>
      </c>
      <c r="G181" s="8" t="s">
        <v>4</v>
      </c>
      <c r="H181" s="11"/>
      <c r="I181" s="3"/>
      <c r="J181" s="23" t="s">
        <v>49</v>
      </c>
      <c r="K181" s="24"/>
      <c r="L181" s="25" t="s">
        <v>10</v>
      </c>
      <c r="M181" s="26"/>
    </row>
    <row r="182" spans="1:13" ht="15.75" x14ac:dyDescent="0.25">
      <c r="A182" s="12" t="s">
        <v>50</v>
      </c>
      <c r="B182" s="12" t="s">
        <v>11</v>
      </c>
      <c r="C182" s="12"/>
      <c r="D182" s="12" t="s">
        <v>12</v>
      </c>
      <c r="E182" s="12" t="s">
        <v>45</v>
      </c>
      <c r="F182" s="12" t="s">
        <v>46</v>
      </c>
      <c r="G182" s="12" t="s">
        <v>13</v>
      </c>
      <c r="H182" s="13" t="s">
        <v>47</v>
      </c>
      <c r="I182" s="14" t="s">
        <v>48</v>
      </c>
      <c r="J182" s="13" t="s">
        <v>51</v>
      </c>
      <c r="K182" s="14" t="s">
        <v>14</v>
      </c>
      <c r="L182" s="15" t="s">
        <v>51</v>
      </c>
      <c r="M182" s="14" t="s">
        <v>14</v>
      </c>
    </row>
    <row r="183" spans="1:13" ht="15.75" x14ac:dyDescent="0.25">
      <c r="A183" s="8">
        <f>A168+L178</f>
        <v>0</v>
      </c>
      <c r="B183" s="8">
        <f>B168+M178</f>
        <v>0</v>
      </c>
      <c r="C183" s="8"/>
      <c r="D183" s="5">
        <v>5</v>
      </c>
      <c r="E183" s="16">
        <f>$A$183+$B$183*D183</f>
        <v>0</v>
      </c>
      <c r="F183" s="16">
        <f>E183</f>
        <v>0</v>
      </c>
      <c r="G183" s="17">
        <f>($C$3-E183)^2</f>
        <v>4.5796000000000001</v>
      </c>
      <c r="H183" s="18">
        <f>2*(E183-$C$3)</f>
        <v>-4.28</v>
      </c>
      <c r="I183" s="16">
        <f>EXP(E183)/(1 + EXP(E183))^2</f>
        <v>0.25</v>
      </c>
      <c r="J183" s="19">
        <v>1</v>
      </c>
      <c r="K183" s="16">
        <f>D183</f>
        <v>5</v>
      </c>
      <c r="L183" s="19">
        <f>-1*$C$14*H183*I183*J183</f>
        <v>0</v>
      </c>
      <c r="M183" s="16">
        <f>-1*$C$14*H183*I183*K183</f>
        <v>0</v>
      </c>
    </row>
    <row r="184" spans="1:13" ht="15.75" x14ac:dyDescent="0.25">
      <c r="A184" s="8"/>
      <c r="B184" s="8"/>
      <c r="C184" s="8"/>
      <c r="D184" s="5">
        <v>10</v>
      </c>
      <c r="E184" s="16">
        <f t="shared" ref="E184:E192" si="60">$A$183+$B$183*D184</f>
        <v>0</v>
      </c>
      <c r="F184" s="16">
        <f t="shared" ref="F184:F192" si="61">E184</f>
        <v>0</v>
      </c>
      <c r="G184" s="17">
        <f>($C$4-E184)^2</f>
        <v>11.424399999999999</v>
      </c>
      <c r="H184" s="18">
        <f>2*(E184-$C$4)</f>
        <v>-6.76</v>
      </c>
      <c r="I184" s="16">
        <f t="shared" ref="I184:I192" si="62">EXP(E184)/(1 + EXP(E184))^2</f>
        <v>0.25</v>
      </c>
      <c r="J184" s="19">
        <v>1</v>
      </c>
      <c r="K184" s="16">
        <f t="shared" ref="K184:K192" si="63">D184</f>
        <v>10</v>
      </c>
      <c r="L184" s="19">
        <f t="shared" ref="L184:L192" si="64">-1*$C$14*H184*I184*J184</f>
        <v>0</v>
      </c>
      <c r="M184" s="16">
        <f t="shared" ref="M184:M192" si="65">-1*$C$14*H184*I184*K184</f>
        <v>0</v>
      </c>
    </row>
    <row r="185" spans="1:13" ht="15.75" x14ac:dyDescent="0.25">
      <c r="A185" s="8"/>
      <c r="B185" s="8"/>
      <c r="C185" s="8"/>
      <c r="D185" s="5">
        <v>15</v>
      </c>
      <c r="E185" s="16">
        <f t="shared" si="60"/>
        <v>0</v>
      </c>
      <c r="F185" s="16">
        <f t="shared" si="61"/>
        <v>0</v>
      </c>
      <c r="G185" s="17">
        <f>($C$5-E185)^2</f>
        <v>14.8996</v>
      </c>
      <c r="H185" s="18">
        <f>2*(E185-$C$5)</f>
        <v>-7.72</v>
      </c>
      <c r="I185" s="16">
        <f t="shared" si="62"/>
        <v>0.25</v>
      </c>
      <c r="J185" s="19">
        <v>1</v>
      </c>
      <c r="K185" s="16">
        <f t="shared" si="63"/>
        <v>15</v>
      </c>
      <c r="L185" s="19">
        <f t="shared" si="64"/>
        <v>0</v>
      </c>
      <c r="M185" s="16">
        <f t="shared" si="65"/>
        <v>0</v>
      </c>
    </row>
    <row r="186" spans="1:13" ht="15.75" x14ac:dyDescent="0.25">
      <c r="A186" s="8"/>
      <c r="B186" s="8"/>
      <c r="C186" s="8"/>
      <c r="D186" s="5">
        <v>20</v>
      </c>
      <c r="E186" s="16">
        <f t="shared" si="60"/>
        <v>0</v>
      </c>
      <c r="F186" s="16">
        <f t="shared" si="61"/>
        <v>0</v>
      </c>
      <c r="G186" s="17">
        <f>($C$6-E186)^2</f>
        <v>20.976400000000002</v>
      </c>
      <c r="H186" s="18">
        <f>2*(E186-$C$6)</f>
        <v>-9.16</v>
      </c>
      <c r="I186" s="16">
        <f t="shared" si="62"/>
        <v>0.25</v>
      </c>
      <c r="J186" s="19">
        <v>1</v>
      </c>
      <c r="K186" s="16">
        <f t="shared" si="63"/>
        <v>20</v>
      </c>
      <c r="L186" s="19">
        <f t="shared" si="64"/>
        <v>0</v>
      </c>
      <c r="M186" s="16">
        <f t="shared" si="65"/>
        <v>0</v>
      </c>
    </row>
    <row r="187" spans="1:13" ht="15.75" x14ac:dyDescent="0.25">
      <c r="A187" s="8"/>
      <c r="B187" s="8"/>
      <c r="C187" s="8"/>
      <c r="D187" s="5">
        <v>25</v>
      </c>
      <c r="E187" s="16">
        <f t="shared" si="60"/>
        <v>0</v>
      </c>
      <c r="F187" s="16">
        <f t="shared" si="61"/>
        <v>0</v>
      </c>
      <c r="G187" s="17">
        <f>($C$7-E187)^2</f>
        <v>75.400277777777788</v>
      </c>
      <c r="H187" s="18">
        <f>2*(E187-$C$7)</f>
        <v>-17.366666666666667</v>
      </c>
      <c r="I187" s="16">
        <f t="shared" si="62"/>
        <v>0.25</v>
      </c>
      <c r="J187" s="19">
        <v>1</v>
      </c>
      <c r="K187" s="16">
        <f t="shared" si="63"/>
        <v>25</v>
      </c>
      <c r="L187" s="19">
        <f t="shared" si="64"/>
        <v>0</v>
      </c>
      <c r="M187" s="16">
        <f t="shared" si="65"/>
        <v>0</v>
      </c>
    </row>
    <row r="188" spans="1:13" ht="15.75" x14ac:dyDescent="0.25">
      <c r="A188" s="8"/>
      <c r="B188" s="8"/>
      <c r="C188" s="8"/>
      <c r="D188" s="5">
        <v>30</v>
      </c>
      <c r="E188" s="16">
        <f t="shared" si="60"/>
        <v>0</v>
      </c>
      <c r="F188" s="16">
        <f t="shared" si="61"/>
        <v>0</v>
      </c>
      <c r="G188" s="17">
        <f>($C$8-E188)^2</f>
        <v>80.281600000000012</v>
      </c>
      <c r="H188" s="18">
        <f>2*(E188-$C$8)</f>
        <v>-17.920000000000002</v>
      </c>
      <c r="I188" s="16">
        <f t="shared" si="62"/>
        <v>0.25</v>
      </c>
      <c r="J188" s="19">
        <v>1</v>
      </c>
      <c r="K188" s="16">
        <f t="shared" si="63"/>
        <v>30</v>
      </c>
      <c r="L188" s="19">
        <f t="shared" si="64"/>
        <v>0</v>
      </c>
      <c r="M188" s="16">
        <f t="shared" si="65"/>
        <v>0</v>
      </c>
    </row>
    <row r="189" spans="1:13" ht="15.75" x14ac:dyDescent="0.25">
      <c r="A189" s="8"/>
      <c r="B189" s="8"/>
      <c r="C189" s="8"/>
      <c r="D189" s="5">
        <v>35</v>
      </c>
      <c r="E189" s="16">
        <f t="shared" si="60"/>
        <v>0</v>
      </c>
      <c r="F189" s="16">
        <f t="shared" si="61"/>
        <v>0</v>
      </c>
      <c r="G189" s="17">
        <f>($C$9-E189)^2</f>
        <v>101.13654444444444</v>
      </c>
      <c r="H189" s="18">
        <f>2*(E189-$C$9)</f>
        <v>-20.113333333333333</v>
      </c>
      <c r="I189" s="16">
        <f t="shared" si="62"/>
        <v>0.25</v>
      </c>
      <c r="J189" s="19">
        <v>1</v>
      </c>
      <c r="K189" s="16">
        <f t="shared" si="63"/>
        <v>35</v>
      </c>
      <c r="L189" s="19">
        <f t="shared" si="64"/>
        <v>0</v>
      </c>
      <c r="M189" s="16">
        <f t="shared" si="65"/>
        <v>0</v>
      </c>
    </row>
    <row r="190" spans="1:13" ht="15.75" x14ac:dyDescent="0.25">
      <c r="A190" s="8"/>
      <c r="B190" s="8"/>
      <c r="C190" s="8"/>
      <c r="D190" s="5">
        <v>40</v>
      </c>
      <c r="E190" s="16">
        <f t="shared" si="60"/>
        <v>0</v>
      </c>
      <c r="F190" s="16">
        <f t="shared" si="61"/>
        <v>0</v>
      </c>
      <c r="G190" s="17">
        <f>($C$10-E190)^2</f>
        <v>168.82671111111114</v>
      </c>
      <c r="H190" s="18">
        <f>2*(E190-$C$10)</f>
        <v>-25.986666666666668</v>
      </c>
      <c r="I190" s="16">
        <f t="shared" si="62"/>
        <v>0.25</v>
      </c>
      <c r="J190" s="19">
        <v>1</v>
      </c>
      <c r="K190" s="16">
        <f t="shared" si="63"/>
        <v>40</v>
      </c>
      <c r="L190" s="19">
        <f t="shared" si="64"/>
        <v>0</v>
      </c>
      <c r="M190" s="16">
        <f t="shared" si="65"/>
        <v>0</v>
      </c>
    </row>
    <row r="191" spans="1:13" ht="15.75" x14ac:dyDescent="0.25">
      <c r="A191" s="8"/>
      <c r="B191" s="8"/>
      <c r="C191" s="8"/>
      <c r="D191" s="5">
        <v>45</v>
      </c>
      <c r="E191" s="16">
        <f t="shared" si="60"/>
        <v>0</v>
      </c>
      <c r="F191" s="16">
        <f t="shared" si="61"/>
        <v>0</v>
      </c>
      <c r="G191" s="17">
        <f>($C$11-E191)^2</f>
        <v>208.22490000000005</v>
      </c>
      <c r="H191" s="18">
        <f>2*(E191-$C$11)</f>
        <v>-28.860000000000003</v>
      </c>
      <c r="I191" s="16">
        <f t="shared" si="62"/>
        <v>0.25</v>
      </c>
      <c r="J191" s="19">
        <v>1</v>
      </c>
      <c r="K191" s="16">
        <f t="shared" si="63"/>
        <v>45</v>
      </c>
      <c r="L191" s="19">
        <f t="shared" si="64"/>
        <v>0</v>
      </c>
      <c r="M191" s="16">
        <f t="shared" si="65"/>
        <v>0</v>
      </c>
    </row>
    <row r="192" spans="1:13" ht="16.5" thickBot="1" x14ac:dyDescent="0.3">
      <c r="A192" s="20"/>
      <c r="B192" s="20"/>
      <c r="C192" s="3"/>
      <c r="D192" s="5">
        <v>50</v>
      </c>
      <c r="E192" s="16">
        <f t="shared" si="60"/>
        <v>0</v>
      </c>
      <c r="F192" s="16">
        <f t="shared" si="61"/>
        <v>0</v>
      </c>
      <c r="G192" s="17">
        <f>($C$12-E192)^2</f>
        <v>206.40111111111116</v>
      </c>
      <c r="H192" s="18">
        <f>2*(E192-$C$12)</f>
        <v>-28.733333333333338</v>
      </c>
      <c r="I192" s="16">
        <f t="shared" si="62"/>
        <v>0.25</v>
      </c>
      <c r="J192" s="19">
        <v>1</v>
      </c>
      <c r="K192" s="16">
        <f t="shared" si="63"/>
        <v>50</v>
      </c>
      <c r="L192" s="19">
        <f t="shared" si="64"/>
        <v>0</v>
      </c>
      <c r="M192" s="16">
        <f t="shared" si="65"/>
        <v>0</v>
      </c>
    </row>
    <row r="193" spans="1:13" ht="16.5" thickTop="1" x14ac:dyDescent="0.25">
      <c r="A193" s="3"/>
      <c r="B193" s="3"/>
      <c r="C193" s="3"/>
      <c r="D193" s="3"/>
      <c r="E193" s="3"/>
      <c r="F193" s="3"/>
      <c r="G193" s="21">
        <f>SUM(G183:G192)</f>
        <v>892.15114444444464</v>
      </c>
      <c r="H193" s="11"/>
      <c r="I193" s="3"/>
      <c r="J193" s="3"/>
      <c r="K193" s="3"/>
      <c r="L193" s="22">
        <f>AVERAGE(L183:L192)</f>
        <v>0</v>
      </c>
      <c r="M193" s="22">
        <f>AVERAGE(M183:M192)</f>
        <v>0</v>
      </c>
    </row>
    <row r="195" spans="1:13" x14ac:dyDescent="0.25">
      <c r="A195" s="30" t="s">
        <v>33</v>
      </c>
    </row>
    <row r="196" spans="1:13" ht="31.5" x14ac:dyDescent="0.25">
      <c r="A196" s="8" t="s">
        <v>5</v>
      </c>
      <c r="B196" s="9" t="s">
        <v>6</v>
      </c>
      <c r="C196" s="3"/>
      <c r="D196" s="8" t="s">
        <v>7</v>
      </c>
      <c r="E196" s="10" t="s">
        <v>8</v>
      </c>
      <c r="F196" s="8" t="s">
        <v>9</v>
      </c>
      <c r="G196" s="8" t="s">
        <v>4</v>
      </c>
      <c r="H196" s="11"/>
      <c r="I196" s="3"/>
      <c r="J196" s="23" t="s">
        <v>49</v>
      </c>
      <c r="K196" s="24"/>
      <c r="L196" s="25" t="s">
        <v>10</v>
      </c>
      <c r="M196" s="26"/>
    </row>
    <row r="197" spans="1:13" ht="15.75" x14ac:dyDescent="0.25">
      <c r="A197" s="12" t="s">
        <v>50</v>
      </c>
      <c r="B197" s="12" t="s">
        <v>11</v>
      </c>
      <c r="C197" s="12"/>
      <c r="D197" s="12" t="s">
        <v>12</v>
      </c>
      <c r="E197" s="12" t="s">
        <v>45</v>
      </c>
      <c r="F197" s="12" t="s">
        <v>46</v>
      </c>
      <c r="G197" s="12" t="s">
        <v>13</v>
      </c>
      <c r="H197" s="13" t="s">
        <v>47</v>
      </c>
      <c r="I197" s="14" t="s">
        <v>48</v>
      </c>
      <c r="J197" s="13" t="s">
        <v>51</v>
      </c>
      <c r="K197" s="14" t="s">
        <v>14</v>
      </c>
      <c r="L197" s="15" t="s">
        <v>51</v>
      </c>
      <c r="M197" s="14" t="s">
        <v>14</v>
      </c>
    </row>
    <row r="198" spans="1:13" ht="15.75" x14ac:dyDescent="0.25">
      <c r="A198" s="8">
        <f>A183+L193</f>
        <v>0</v>
      </c>
      <c r="B198" s="8">
        <f>B183+M193</f>
        <v>0</v>
      </c>
      <c r="C198" s="8"/>
      <c r="D198" s="5">
        <v>5</v>
      </c>
      <c r="E198" s="16">
        <f>$A$198+$B$198*D198</f>
        <v>0</v>
      </c>
      <c r="F198" s="16">
        <f>E198</f>
        <v>0</v>
      </c>
      <c r="G198" s="17">
        <f>($C$3-E198)^2</f>
        <v>4.5796000000000001</v>
      </c>
      <c r="H198" s="18">
        <f>2*(E198-$C$3)</f>
        <v>-4.28</v>
      </c>
      <c r="I198" s="16">
        <f>EXP(E198)/(1 + EXP(E198))^2</f>
        <v>0.25</v>
      </c>
      <c r="J198" s="19">
        <v>1</v>
      </c>
      <c r="K198" s="16">
        <f>D198</f>
        <v>5</v>
      </c>
      <c r="L198" s="19">
        <f>-1*$C$14*H198*I198*J198</f>
        <v>0</v>
      </c>
      <c r="M198" s="16">
        <f>-1*$C$14*H198*I198*K198</f>
        <v>0</v>
      </c>
    </row>
    <row r="199" spans="1:13" ht="15.75" x14ac:dyDescent="0.25">
      <c r="A199" s="8"/>
      <c r="B199" s="8"/>
      <c r="C199" s="8"/>
      <c r="D199" s="5">
        <v>10</v>
      </c>
      <c r="E199" s="16">
        <f t="shared" ref="E199:E207" si="66">$A$198+$B$198*D199</f>
        <v>0</v>
      </c>
      <c r="F199" s="16">
        <f t="shared" ref="F199:F207" si="67">E199</f>
        <v>0</v>
      </c>
      <c r="G199" s="17">
        <f>($C$4-E199)^2</f>
        <v>11.424399999999999</v>
      </c>
      <c r="H199" s="18">
        <f>2*(E199-$C$4)</f>
        <v>-6.76</v>
      </c>
      <c r="I199" s="16">
        <f t="shared" ref="I199:I207" si="68">EXP(E199)/(1 + EXP(E199))^2</f>
        <v>0.25</v>
      </c>
      <c r="J199" s="19">
        <v>1</v>
      </c>
      <c r="K199" s="16">
        <f t="shared" ref="K199:K207" si="69">D199</f>
        <v>10</v>
      </c>
      <c r="L199" s="19">
        <f t="shared" ref="L199:L207" si="70">-1*$C$14*H199*I199*J199</f>
        <v>0</v>
      </c>
      <c r="M199" s="16">
        <f t="shared" ref="M199:M207" si="71">-1*$C$14*H199*I199*K199</f>
        <v>0</v>
      </c>
    </row>
    <row r="200" spans="1:13" ht="15.75" x14ac:dyDescent="0.25">
      <c r="A200" s="8"/>
      <c r="B200" s="8"/>
      <c r="C200" s="8"/>
      <c r="D200" s="5">
        <v>15</v>
      </c>
      <c r="E200" s="16">
        <f t="shared" si="66"/>
        <v>0</v>
      </c>
      <c r="F200" s="16">
        <f t="shared" si="67"/>
        <v>0</v>
      </c>
      <c r="G200" s="17">
        <f>($C$5-E200)^2</f>
        <v>14.8996</v>
      </c>
      <c r="H200" s="18">
        <f>2*(E200-$C$5)</f>
        <v>-7.72</v>
      </c>
      <c r="I200" s="16">
        <f t="shared" si="68"/>
        <v>0.25</v>
      </c>
      <c r="J200" s="19">
        <v>1</v>
      </c>
      <c r="K200" s="16">
        <f t="shared" si="69"/>
        <v>15</v>
      </c>
      <c r="L200" s="19">
        <f t="shared" si="70"/>
        <v>0</v>
      </c>
      <c r="M200" s="16">
        <f t="shared" si="71"/>
        <v>0</v>
      </c>
    </row>
    <row r="201" spans="1:13" ht="15.75" x14ac:dyDescent="0.25">
      <c r="A201" s="8"/>
      <c r="B201" s="8"/>
      <c r="C201" s="8"/>
      <c r="D201" s="5">
        <v>20</v>
      </c>
      <c r="E201" s="16">
        <f t="shared" si="66"/>
        <v>0</v>
      </c>
      <c r="F201" s="16">
        <f t="shared" si="67"/>
        <v>0</v>
      </c>
      <c r="G201" s="17">
        <f>($C$6-E201)^2</f>
        <v>20.976400000000002</v>
      </c>
      <c r="H201" s="18">
        <f>2*(E201-$C$6)</f>
        <v>-9.16</v>
      </c>
      <c r="I201" s="16">
        <f t="shared" si="68"/>
        <v>0.25</v>
      </c>
      <c r="J201" s="19">
        <v>1</v>
      </c>
      <c r="K201" s="16">
        <f t="shared" si="69"/>
        <v>20</v>
      </c>
      <c r="L201" s="19">
        <f t="shared" si="70"/>
        <v>0</v>
      </c>
      <c r="M201" s="16">
        <f t="shared" si="71"/>
        <v>0</v>
      </c>
    </row>
    <row r="202" spans="1:13" ht="15.75" x14ac:dyDescent="0.25">
      <c r="A202" s="8"/>
      <c r="B202" s="8"/>
      <c r="C202" s="8"/>
      <c r="D202" s="5">
        <v>25</v>
      </c>
      <c r="E202" s="16">
        <f t="shared" si="66"/>
        <v>0</v>
      </c>
      <c r="F202" s="16">
        <f t="shared" si="67"/>
        <v>0</v>
      </c>
      <c r="G202" s="17">
        <f>($C$7-E202)^2</f>
        <v>75.400277777777788</v>
      </c>
      <c r="H202" s="18">
        <f>2*(E202-$C$7)</f>
        <v>-17.366666666666667</v>
      </c>
      <c r="I202" s="16">
        <f t="shared" si="68"/>
        <v>0.25</v>
      </c>
      <c r="J202" s="19">
        <v>1</v>
      </c>
      <c r="K202" s="16">
        <f t="shared" si="69"/>
        <v>25</v>
      </c>
      <c r="L202" s="19">
        <f t="shared" si="70"/>
        <v>0</v>
      </c>
      <c r="M202" s="16">
        <f t="shared" si="71"/>
        <v>0</v>
      </c>
    </row>
    <row r="203" spans="1:13" ht="15.75" x14ac:dyDescent="0.25">
      <c r="A203" s="8"/>
      <c r="B203" s="8"/>
      <c r="C203" s="8"/>
      <c r="D203" s="5">
        <v>30</v>
      </c>
      <c r="E203" s="16">
        <f t="shared" si="66"/>
        <v>0</v>
      </c>
      <c r="F203" s="16">
        <f t="shared" si="67"/>
        <v>0</v>
      </c>
      <c r="G203" s="17">
        <f>($C$8-E203)^2</f>
        <v>80.281600000000012</v>
      </c>
      <c r="H203" s="18">
        <f>2*(E203-$C$8)</f>
        <v>-17.920000000000002</v>
      </c>
      <c r="I203" s="16">
        <f t="shared" si="68"/>
        <v>0.25</v>
      </c>
      <c r="J203" s="19">
        <v>1</v>
      </c>
      <c r="K203" s="16">
        <f t="shared" si="69"/>
        <v>30</v>
      </c>
      <c r="L203" s="19">
        <f t="shared" si="70"/>
        <v>0</v>
      </c>
      <c r="M203" s="16">
        <f t="shared" si="71"/>
        <v>0</v>
      </c>
    </row>
    <row r="204" spans="1:13" ht="15.75" x14ac:dyDescent="0.25">
      <c r="A204" s="8"/>
      <c r="B204" s="8"/>
      <c r="C204" s="8"/>
      <c r="D204" s="5">
        <v>35</v>
      </c>
      <c r="E204" s="16">
        <f t="shared" si="66"/>
        <v>0</v>
      </c>
      <c r="F204" s="16">
        <f t="shared" si="67"/>
        <v>0</v>
      </c>
      <c r="G204" s="17">
        <f>($C$9-E204)^2</f>
        <v>101.13654444444444</v>
      </c>
      <c r="H204" s="18">
        <f>2*(E204-$C$9)</f>
        <v>-20.113333333333333</v>
      </c>
      <c r="I204" s="16">
        <f t="shared" si="68"/>
        <v>0.25</v>
      </c>
      <c r="J204" s="19">
        <v>1</v>
      </c>
      <c r="K204" s="16">
        <f t="shared" si="69"/>
        <v>35</v>
      </c>
      <c r="L204" s="19">
        <f t="shared" si="70"/>
        <v>0</v>
      </c>
      <c r="M204" s="16">
        <f t="shared" si="71"/>
        <v>0</v>
      </c>
    </row>
    <row r="205" spans="1:13" ht="15.75" x14ac:dyDescent="0.25">
      <c r="A205" s="8"/>
      <c r="B205" s="8"/>
      <c r="C205" s="8"/>
      <c r="D205" s="5">
        <v>40</v>
      </c>
      <c r="E205" s="16">
        <f t="shared" si="66"/>
        <v>0</v>
      </c>
      <c r="F205" s="16">
        <f t="shared" si="67"/>
        <v>0</v>
      </c>
      <c r="G205" s="17">
        <f>($C$10-E205)^2</f>
        <v>168.82671111111114</v>
      </c>
      <c r="H205" s="18">
        <f>2*(E205-$C$10)</f>
        <v>-25.986666666666668</v>
      </c>
      <c r="I205" s="16">
        <f t="shared" si="68"/>
        <v>0.25</v>
      </c>
      <c r="J205" s="19">
        <v>1</v>
      </c>
      <c r="K205" s="16">
        <f t="shared" si="69"/>
        <v>40</v>
      </c>
      <c r="L205" s="19">
        <f t="shared" si="70"/>
        <v>0</v>
      </c>
      <c r="M205" s="16">
        <f t="shared" si="71"/>
        <v>0</v>
      </c>
    </row>
    <row r="206" spans="1:13" ht="15.75" x14ac:dyDescent="0.25">
      <c r="A206" s="8"/>
      <c r="B206" s="8"/>
      <c r="C206" s="8"/>
      <c r="D206" s="5">
        <v>45</v>
      </c>
      <c r="E206" s="16">
        <f t="shared" si="66"/>
        <v>0</v>
      </c>
      <c r="F206" s="16">
        <f t="shared" si="67"/>
        <v>0</v>
      </c>
      <c r="G206" s="17">
        <f>($C$11-E206)^2</f>
        <v>208.22490000000005</v>
      </c>
      <c r="H206" s="18">
        <f>2*(E206-$C$11)</f>
        <v>-28.860000000000003</v>
      </c>
      <c r="I206" s="16">
        <f t="shared" si="68"/>
        <v>0.25</v>
      </c>
      <c r="J206" s="19">
        <v>1</v>
      </c>
      <c r="K206" s="16">
        <f t="shared" si="69"/>
        <v>45</v>
      </c>
      <c r="L206" s="19">
        <f t="shared" si="70"/>
        <v>0</v>
      </c>
      <c r="M206" s="16">
        <f t="shared" si="71"/>
        <v>0</v>
      </c>
    </row>
    <row r="207" spans="1:13" ht="16.5" thickBot="1" x14ac:dyDescent="0.3">
      <c r="A207" s="20"/>
      <c r="B207" s="20"/>
      <c r="C207" s="3"/>
      <c r="D207" s="5">
        <v>50</v>
      </c>
      <c r="E207" s="16">
        <f t="shared" si="66"/>
        <v>0</v>
      </c>
      <c r="F207" s="16">
        <f t="shared" si="67"/>
        <v>0</v>
      </c>
      <c r="G207" s="17">
        <f>($C$12-E207)^2</f>
        <v>206.40111111111116</v>
      </c>
      <c r="H207" s="18">
        <f>2*(E207-$C$12)</f>
        <v>-28.733333333333338</v>
      </c>
      <c r="I207" s="16">
        <f t="shared" si="68"/>
        <v>0.25</v>
      </c>
      <c r="J207" s="19">
        <v>1</v>
      </c>
      <c r="K207" s="16">
        <f t="shared" si="69"/>
        <v>50</v>
      </c>
      <c r="L207" s="19">
        <f t="shared" si="70"/>
        <v>0</v>
      </c>
      <c r="M207" s="16">
        <f t="shared" si="71"/>
        <v>0</v>
      </c>
    </row>
    <row r="208" spans="1:13" ht="16.5" thickTop="1" x14ac:dyDescent="0.25">
      <c r="A208" s="3"/>
      <c r="B208" s="3"/>
      <c r="C208" s="3"/>
      <c r="D208" s="3"/>
      <c r="E208" s="3"/>
      <c r="F208" s="3"/>
      <c r="G208" s="21">
        <f>SUM(G198:G207)</f>
        <v>892.15114444444464</v>
      </c>
      <c r="H208" s="11"/>
      <c r="I208" s="3"/>
      <c r="J208" s="3"/>
      <c r="K208" s="3"/>
      <c r="L208" s="22">
        <f>AVERAGE(L198:L207)</f>
        <v>0</v>
      </c>
      <c r="M208" s="22">
        <f>AVERAGE(M198:M207)</f>
        <v>0</v>
      </c>
    </row>
    <row r="210" spans="1:13" x14ac:dyDescent="0.25">
      <c r="A210" s="30" t="s">
        <v>34</v>
      </c>
    </row>
    <row r="211" spans="1:13" ht="31.5" x14ac:dyDescent="0.25">
      <c r="A211" s="8" t="s">
        <v>5</v>
      </c>
      <c r="B211" s="9" t="s">
        <v>6</v>
      </c>
      <c r="C211" s="3"/>
      <c r="D211" s="8" t="s">
        <v>7</v>
      </c>
      <c r="E211" s="10" t="s">
        <v>8</v>
      </c>
      <c r="F211" s="8" t="s">
        <v>9</v>
      </c>
      <c r="G211" s="8" t="s">
        <v>4</v>
      </c>
      <c r="H211" s="11"/>
      <c r="I211" s="3"/>
      <c r="J211" s="23" t="s">
        <v>49</v>
      </c>
      <c r="K211" s="24"/>
      <c r="L211" s="25" t="s">
        <v>10</v>
      </c>
      <c r="M211" s="26"/>
    </row>
    <row r="212" spans="1:13" ht="15.75" x14ac:dyDescent="0.25">
      <c r="A212" s="12" t="s">
        <v>50</v>
      </c>
      <c r="B212" s="12" t="s">
        <v>11</v>
      </c>
      <c r="C212" s="12"/>
      <c r="D212" s="12" t="s">
        <v>12</v>
      </c>
      <c r="E212" s="12" t="s">
        <v>45</v>
      </c>
      <c r="F212" s="12" t="s">
        <v>46</v>
      </c>
      <c r="G212" s="12" t="s">
        <v>13</v>
      </c>
      <c r="H212" s="13" t="s">
        <v>47</v>
      </c>
      <c r="I212" s="14" t="s">
        <v>48</v>
      </c>
      <c r="J212" s="13" t="s">
        <v>51</v>
      </c>
      <c r="K212" s="14" t="s">
        <v>14</v>
      </c>
      <c r="L212" s="15" t="s">
        <v>51</v>
      </c>
      <c r="M212" s="14" t="s">
        <v>14</v>
      </c>
    </row>
    <row r="213" spans="1:13" ht="15.75" x14ac:dyDescent="0.25">
      <c r="A213" s="8">
        <f>A198+L208</f>
        <v>0</v>
      </c>
      <c r="B213" s="8">
        <f>B198+M208</f>
        <v>0</v>
      </c>
      <c r="C213" s="8"/>
      <c r="D213" s="5">
        <v>5</v>
      </c>
      <c r="E213" s="16">
        <f>$A$213+$B$213*D213</f>
        <v>0</v>
      </c>
      <c r="F213" s="16">
        <f>E213</f>
        <v>0</v>
      </c>
      <c r="G213" s="17">
        <f>($C$3-E213)^2</f>
        <v>4.5796000000000001</v>
      </c>
      <c r="H213" s="18">
        <f>2*(E213-$C$3)</f>
        <v>-4.28</v>
      </c>
      <c r="I213" s="16">
        <f>EXP(E213)/(1 + EXP(E213))^2</f>
        <v>0.25</v>
      </c>
      <c r="J213" s="19">
        <v>1</v>
      </c>
      <c r="K213" s="16">
        <f>D213</f>
        <v>5</v>
      </c>
      <c r="L213" s="19">
        <f>-1*$C$14*H213*I213*J213</f>
        <v>0</v>
      </c>
      <c r="M213" s="16">
        <f>-1*$C$14*H213*I213*K213</f>
        <v>0</v>
      </c>
    </row>
    <row r="214" spans="1:13" ht="15.75" x14ac:dyDescent="0.25">
      <c r="A214" s="8"/>
      <c r="B214" s="8"/>
      <c r="C214" s="8"/>
      <c r="D214" s="5">
        <v>10</v>
      </c>
      <c r="E214" s="16">
        <f t="shared" ref="E214:E222" si="72">$A$213+$B$213*D214</f>
        <v>0</v>
      </c>
      <c r="F214" s="16">
        <f t="shared" ref="F214:F222" si="73">E214</f>
        <v>0</v>
      </c>
      <c r="G214" s="17">
        <f>($C$4-E214)^2</f>
        <v>11.424399999999999</v>
      </c>
      <c r="H214" s="18">
        <f>2*(E214-$C$4)</f>
        <v>-6.76</v>
      </c>
      <c r="I214" s="16">
        <f t="shared" ref="I214:I222" si="74">EXP(E214)/(1 + EXP(E214))^2</f>
        <v>0.25</v>
      </c>
      <c r="J214" s="19">
        <v>1</v>
      </c>
      <c r="K214" s="16">
        <f t="shared" ref="K214:K222" si="75">D214</f>
        <v>10</v>
      </c>
      <c r="L214" s="19">
        <f t="shared" ref="L214:L222" si="76">-1*$C$14*H214*I214*J214</f>
        <v>0</v>
      </c>
      <c r="M214" s="16">
        <f t="shared" ref="M214:M222" si="77">-1*$C$14*H214*I214*K214</f>
        <v>0</v>
      </c>
    </row>
    <row r="215" spans="1:13" ht="15.75" x14ac:dyDescent="0.25">
      <c r="A215" s="8"/>
      <c r="B215" s="8"/>
      <c r="C215" s="8"/>
      <c r="D215" s="5">
        <v>15</v>
      </c>
      <c r="E215" s="16">
        <f t="shared" si="72"/>
        <v>0</v>
      </c>
      <c r="F215" s="16">
        <f t="shared" si="73"/>
        <v>0</v>
      </c>
      <c r="G215" s="17">
        <f>($C$5-E215)^2</f>
        <v>14.8996</v>
      </c>
      <c r="H215" s="18">
        <f>2*(E215-$C$5)</f>
        <v>-7.72</v>
      </c>
      <c r="I215" s="16">
        <f t="shared" si="74"/>
        <v>0.25</v>
      </c>
      <c r="J215" s="19">
        <v>1</v>
      </c>
      <c r="K215" s="16">
        <f t="shared" si="75"/>
        <v>15</v>
      </c>
      <c r="L215" s="19">
        <f t="shared" si="76"/>
        <v>0</v>
      </c>
      <c r="M215" s="16">
        <f t="shared" si="77"/>
        <v>0</v>
      </c>
    </row>
    <row r="216" spans="1:13" ht="15.75" x14ac:dyDescent="0.25">
      <c r="A216" s="8"/>
      <c r="B216" s="8"/>
      <c r="C216" s="8"/>
      <c r="D216" s="5">
        <v>20</v>
      </c>
      <c r="E216" s="16">
        <f t="shared" si="72"/>
        <v>0</v>
      </c>
      <c r="F216" s="16">
        <f t="shared" si="73"/>
        <v>0</v>
      </c>
      <c r="G216" s="17">
        <f>($C$6-E216)^2</f>
        <v>20.976400000000002</v>
      </c>
      <c r="H216" s="18">
        <f>2*(E216-$C$6)</f>
        <v>-9.16</v>
      </c>
      <c r="I216" s="16">
        <f t="shared" si="74"/>
        <v>0.25</v>
      </c>
      <c r="J216" s="19">
        <v>1</v>
      </c>
      <c r="K216" s="16">
        <f t="shared" si="75"/>
        <v>20</v>
      </c>
      <c r="L216" s="19">
        <f t="shared" si="76"/>
        <v>0</v>
      </c>
      <c r="M216" s="16">
        <f t="shared" si="77"/>
        <v>0</v>
      </c>
    </row>
    <row r="217" spans="1:13" ht="15.75" x14ac:dyDescent="0.25">
      <c r="A217" s="8"/>
      <c r="B217" s="8"/>
      <c r="C217" s="8"/>
      <c r="D217" s="5">
        <v>25</v>
      </c>
      <c r="E217" s="16">
        <f t="shared" si="72"/>
        <v>0</v>
      </c>
      <c r="F217" s="16">
        <f t="shared" si="73"/>
        <v>0</v>
      </c>
      <c r="G217" s="17">
        <f>($C$7-E217)^2</f>
        <v>75.400277777777788</v>
      </c>
      <c r="H217" s="18">
        <f>2*(E217-$C$7)</f>
        <v>-17.366666666666667</v>
      </c>
      <c r="I217" s="16">
        <f t="shared" si="74"/>
        <v>0.25</v>
      </c>
      <c r="J217" s="19">
        <v>1</v>
      </c>
      <c r="K217" s="16">
        <f t="shared" si="75"/>
        <v>25</v>
      </c>
      <c r="L217" s="19">
        <f t="shared" si="76"/>
        <v>0</v>
      </c>
      <c r="M217" s="16">
        <f t="shared" si="77"/>
        <v>0</v>
      </c>
    </row>
    <row r="218" spans="1:13" ht="15.75" x14ac:dyDescent="0.25">
      <c r="A218" s="8"/>
      <c r="B218" s="8"/>
      <c r="C218" s="8"/>
      <c r="D218" s="5">
        <v>30</v>
      </c>
      <c r="E218" s="16">
        <f t="shared" si="72"/>
        <v>0</v>
      </c>
      <c r="F218" s="16">
        <f t="shared" si="73"/>
        <v>0</v>
      </c>
      <c r="G218" s="17">
        <f>($C$8-E218)^2</f>
        <v>80.281600000000012</v>
      </c>
      <c r="H218" s="18">
        <f>2*(E218-$C$8)</f>
        <v>-17.920000000000002</v>
      </c>
      <c r="I218" s="16">
        <f t="shared" si="74"/>
        <v>0.25</v>
      </c>
      <c r="J218" s="19">
        <v>1</v>
      </c>
      <c r="K218" s="16">
        <f t="shared" si="75"/>
        <v>30</v>
      </c>
      <c r="L218" s="19">
        <f t="shared" si="76"/>
        <v>0</v>
      </c>
      <c r="M218" s="16">
        <f t="shared" si="77"/>
        <v>0</v>
      </c>
    </row>
    <row r="219" spans="1:13" ht="15.75" x14ac:dyDescent="0.25">
      <c r="A219" s="8"/>
      <c r="B219" s="8"/>
      <c r="C219" s="8"/>
      <c r="D219" s="5">
        <v>35</v>
      </c>
      <c r="E219" s="16">
        <f t="shared" si="72"/>
        <v>0</v>
      </c>
      <c r="F219" s="16">
        <f t="shared" si="73"/>
        <v>0</v>
      </c>
      <c r="G219" s="17">
        <f>($C$9-E219)^2</f>
        <v>101.13654444444444</v>
      </c>
      <c r="H219" s="18">
        <f>2*(E219-$C$9)</f>
        <v>-20.113333333333333</v>
      </c>
      <c r="I219" s="16">
        <f t="shared" si="74"/>
        <v>0.25</v>
      </c>
      <c r="J219" s="19">
        <v>1</v>
      </c>
      <c r="K219" s="16">
        <f t="shared" si="75"/>
        <v>35</v>
      </c>
      <c r="L219" s="19">
        <f t="shared" si="76"/>
        <v>0</v>
      </c>
      <c r="M219" s="16">
        <f t="shared" si="77"/>
        <v>0</v>
      </c>
    </row>
    <row r="220" spans="1:13" ht="15.75" x14ac:dyDescent="0.25">
      <c r="A220" s="8"/>
      <c r="B220" s="8"/>
      <c r="C220" s="8"/>
      <c r="D220" s="5">
        <v>40</v>
      </c>
      <c r="E220" s="16">
        <f t="shared" si="72"/>
        <v>0</v>
      </c>
      <c r="F220" s="16">
        <f t="shared" si="73"/>
        <v>0</v>
      </c>
      <c r="G220" s="17">
        <f>($C$10-E220)^2</f>
        <v>168.82671111111114</v>
      </c>
      <c r="H220" s="18">
        <f>2*(E220-$C$10)</f>
        <v>-25.986666666666668</v>
      </c>
      <c r="I220" s="16">
        <f t="shared" si="74"/>
        <v>0.25</v>
      </c>
      <c r="J220" s="19">
        <v>1</v>
      </c>
      <c r="K220" s="16">
        <f t="shared" si="75"/>
        <v>40</v>
      </c>
      <c r="L220" s="19">
        <f t="shared" si="76"/>
        <v>0</v>
      </c>
      <c r="M220" s="16">
        <f t="shared" si="77"/>
        <v>0</v>
      </c>
    </row>
    <row r="221" spans="1:13" ht="15.75" x14ac:dyDescent="0.25">
      <c r="A221" s="8"/>
      <c r="B221" s="8"/>
      <c r="C221" s="8"/>
      <c r="D221" s="5">
        <v>45</v>
      </c>
      <c r="E221" s="16">
        <f t="shared" si="72"/>
        <v>0</v>
      </c>
      <c r="F221" s="16">
        <f t="shared" si="73"/>
        <v>0</v>
      </c>
      <c r="G221" s="17">
        <f>($C$11-E221)^2</f>
        <v>208.22490000000005</v>
      </c>
      <c r="H221" s="18">
        <f>2*(E221-$C$11)</f>
        <v>-28.860000000000003</v>
      </c>
      <c r="I221" s="16">
        <f t="shared" si="74"/>
        <v>0.25</v>
      </c>
      <c r="J221" s="19">
        <v>1</v>
      </c>
      <c r="K221" s="16">
        <f t="shared" si="75"/>
        <v>45</v>
      </c>
      <c r="L221" s="19">
        <f t="shared" si="76"/>
        <v>0</v>
      </c>
      <c r="M221" s="16">
        <f t="shared" si="77"/>
        <v>0</v>
      </c>
    </row>
    <row r="222" spans="1:13" ht="16.5" thickBot="1" x14ac:dyDescent="0.3">
      <c r="A222" s="20"/>
      <c r="B222" s="20"/>
      <c r="C222" s="3"/>
      <c r="D222" s="5">
        <v>50</v>
      </c>
      <c r="E222" s="16">
        <f t="shared" si="72"/>
        <v>0</v>
      </c>
      <c r="F222" s="16">
        <f t="shared" si="73"/>
        <v>0</v>
      </c>
      <c r="G222" s="17">
        <f>($C$12-E222)^2</f>
        <v>206.40111111111116</v>
      </c>
      <c r="H222" s="18">
        <f>2*(E222-$C$12)</f>
        <v>-28.733333333333338</v>
      </c>
      <c r="I222" s="16">
        <f t="shared" si="74"/>
        <v>0.25</v>
      </c>
      <c r="J222" s="19">
        <v>1</v>
      </c>
      <c r="K222" s="16">
        <f t="shared" si="75"/>
        <v>50</v>
      </c>
      <c r="L222" s="19">
        <f t="shared" si="76"/>
        <v>0</v>
      </c>
      <c r="M222" s="16">
        <f t="shared" si="77"/>
        <v>0</v>
      </c>
    </row>
    <row r="223" spans="1:13" ht="16.5" thickTop="1" x14ac:dyDescent="0.25">
      <c r="A223" s="3"/>
      <c r="B223" s="3"/>
      <c r="C223" s="3"/>
      <c r="D223" s="3"/>
      <c r="E223" s="3"/>
      <c r="F223" s="3"/>
      <c r="G223" s="21">
        <f>SUM(G213:G222)</f>
        <v>892.15114444444464</v>
      </c>
      <c r="H223" s="11"/>
      <c r="I223" s="3"/>
      <c r="J223" s="3"/>
      <c r="K223" s="3"/>
      <c r="L223" s="22">
        <f>AVERAGE(L213:L222)</f>
        <v>0</v>
      </c>
      <c r="M223" s="22">
        <f>AVERAGE(M213:M222)</f>
        <v>0</v>
      </c>
    </row>
    <row r="225" spans="1:13" x14ac:dyDescent="0.25">
      <c r="A225" s="30" t="s">
        <v>35</v>
      </c>
    </row>
    <row r="226" spans="1:13" ht="31.5" x14ac:dyDescent="0.25">
      <c r="A226" s="8" t="s">
        <v>5</v>
      </c>
      <c r="B226" s="9" t="s">
        <v>6</v>
      </c>
      <c r="C226" s="3"/>
      <c r="D226" s="8" t="s">
        <v>7</v>
      </c>
      <c r="E226" s="10" t="s">
        <v>8</v>
      </c>
      <c r="F226" s="8" t="s">
        <v>9</v>
      </c>
      <c r="G226" s="8" t="s">
        <v>4</v>
      </c>
      <c r="H226" s="11"/>
      <c r="I226" s="3"/>
      <c r="J226" s="23" t="s">
        <v>49</v>
      </c>
      <c r="K226" s="24"/>
      <c r="L226" s="25" t="s">
        <v>10</v>
      </c>
      <c r="M226" s="26"/>
    </row>
    <row r="227" spans="1:13" ht="15.75" x14ac:dyDescent="0.25">
      <c r="A227" s="12" t="s">
        <v>50</v>
      </c>
      <c r="B227" s="12" t="s">
        <v>11</v>
      </c>
      <c r="C227" s="12"/>
      <c r="D227" s="12" t="s">
        <v>12</v>
      </c>
      <c r="E227" s="12" t="s">
        <v>45</v>
      </c>
      <c r="F227" s="12" t="s">
        <v>46</v>
      </c>
      <c r="G227" s="12" t="s">
        <v>13</v>
      </c>
      <c r="H227" s="13" t="s">
        <v>47</v>
      </c>
      <c r="I227" s="14" t="s">
        <v>48</v>
      </c>
      <c r="J227" s="13" t="s">
        <v>51</v>
      </c>
      <c r="K227" s="14" t="s">
        <v>14</v>
      </c>
      <c r="L227" s="15" t="s">
        <v>51</v>
      </c>
      <c r="M227" s="14" t="s">
        <v>14</v>
      </c>
    </row>
    <row r="228" spans="1:13" ht="15.75" x14ac:dyDescent="0.25">
      <c r="A228" s="8">
        <f>A213+L223</f>
        <v>0</v>
      </c>
      <c r="B228" s="8">
        <f>B213+M223</f>
        <v>0</v>
      </c>
      <c r="C228" s="8"/>
      <c r="D228" s="5">
        <v>5</v>
      </c>
      <c r="E228" s="16">
        <f>$A$228+$B$228*D228</f>
        <v>0</v>
      </c>
      <c r="F228" s="16">
        <f>E228</f>
        <v>0</v>
      </c>
      <c r="G228" s="17">
        <f>($C$3-E228)^2</f>
        <v>4.5796000000000001</v>
      </c>
      <c r="H228" s="18">
        <f>2*(E228-$C$3)</f>
        <v>-4.28</v>
      </c>
      <c r="I228" s="16">
        <f>EXP(E228)/(1 + EXP(E228))^2</f>
        <v>0.25</v>
      </c>
      <c r="J228" s="19">
        <v>1</v>
      </c>
      <c r="K228" s="16">
        <f>D228</f>
        <v>5</v>
      </c>
      <c r="L228" s="19">
        <f>-1*$C$14*H228*I228*J228</f>
        <v>0</v>
      </c>
      <c r="M228" s="16">
        <f>-1*$C$14*H228*I228*K228</f>
        <v>0</v>
      </c>
    </row>
    <row r="229" spans="1:13" ht="15.75" x14ac:dyDescent="0.25">
      <c r="A229" s="8"/>
      <c r="B229" s="8"/>
      <c r="C229" s="8"/>
      <c r="D229" s="5">
        <v>10</v>
      </c>
      <c r="E229" s="16">
        <f t="shared" ref="E229:E237" si="78">$A$228+$B$228*D229</f>
        <v>0</v>
      </c>
      <c r="F229" s="16">
        <f t="shared" ref="F229:F237" si="79">E229</f>
        <v>0</v>
      </c>
      <c r="G229" s="17">
        <f>($C$4-E229)^2</f>
        <v>11.424399999999999</v>
      </c>
      <c r="H229" s="18">
        <f>2*(E229-$C$4)</f>
        <v>-6.76</v>
      </c>
      <c r="I229" s="16">
        <f t="shared" ref="I229:I237" si="80">EXP(E229)/(1 + EXP(E229))^2</f>
        <v>0.25</v>
      </c>
      <c r="J229" s="19">
        <v>1</v>
      </c>
      <c r="K229" s="16">
        <f t="shared" ref="K229:K237" si="81">D229</f>
        <v>10</v>
      </c>
      <c r="L229" s="19">
        <f t="shared" ref="L229:L237" si="82">-1*$C$14*H229*I229*J229</f>
        <v>0</v>
      </c>
      <c r="M229" s="16">
        <f t="shared" ref="M229:M237" si="83">-1*$C$14*H229*I229*K229</f>
        <v>0</v>
      </c>
    </row>
    <row r="230" spans="1:13" ht="15.75" x14ac:dyDescent="0.25">
      <c r="A230" s="8"/>
      <c r="B230" s="8"/>
      <c r="C230" s="8"/>
      <c r="D230" s="5">
        <v>15</v>
      </c>
      <c r="E230" s="16">
        <f t="shared" si="78"/>
        <v>0</v>
      </c>
      <c r="F230" s="16">
        <f t="shared" si="79"/>
        <v>0</v>
      </c>
      <c r="G230" s="17">
        <f>($C$5-E230)^2</f>
        <v>14.8996</v>
      </c>
      <c r="H230" s="18">
        <f>2*(E230-$C$5)</f>
        <v>-7.72</v>
      </c>
      <c r="I230" s="16">
        <f t="shared" si="80"/>
        <v>0.25</v>
      </c>
      <c r="J230" s="19">
        <v>1</v>
      </c>
      <c r="K230" s="16">
        <f t="shared" si="81"/>
        <v>15</v>
      </c>
      <c r="L230" s="19">
        <f t="shared" si="82"/>
        <v>0</v>
      </c>
      <c r="M230" s="16">
        <f t="shared" si="83"/>
        <v>0</v>
      </c>
    </row>
    <row r="231" spans="1:13" ht="15.75" x14ac:dyDescent="0.25">
      <c r="A231" s="8"/>
      <c r="B231" s="8"/>
      <c r="C231" s="8"/>
      <c r="D231" s="5">
        <v>20</v>
      </c>
      <c r="E231" s="16">
        <f t="shared" si="78"/>
        <v>0</v>
      </c>
      <c r="F231" s="16">
        <f t="shared" si="79"/>
        <v>0</v>
      </c>
      <c r="G231" s="17">
        <f>($C$6-E231)^2</f>
        <v>20.976400000000002</v>
      </c>
      <c r="H231" s="18">
        <f>2*(E231-$C$6)</f>
        <v>-9.16</v>
      </c>
      <c r="I231" s="16">
        <f t="shared" si="80"/>
        <v>0.25</v>
      </c>
      <c r="J231" s="19">
        <v>1</v>
      </c>
      <c r="K231" s="16">
        <f t="shared" si="81"/>
        <v>20</v>
      </c>
      <c r="L231" s="19">
        <f t="shared" si="82"/>
        <v>0</v>
      </c>
      <c r="M231" s="16">
        <f t="shared" si="83"/>
        <v>0</v>
      </c>
    </row>
    <row r="232" spans="1:13" ht="15.75" x14ac:dyDescent="0.25">
      <c r="A232" s="8"/>
      <c r="B232" s="8"/>
      <c r="C232" s="8"/>
      <c r="D232" s="5">
        <v>25</v>
      </c>
      <c r="E232" s="16">
        <f t="shared" si="78"/>
        <v>0</v>
      </c>
      <c r="F232" s="16">
        <f t="shared" si="79"/>
        <v>0</v>
      </c>
      <c r="G232" s="17">
        <f>($C$7-E232)^2</f>
        <v>75.400277777777788</v>
      </c>
      <c r="H232" s="18">
        <f>2*(E232-$C$7)</f>
        <v>-17.366666666666667</v>
      </c>
      <c r="I232" s="16">
        <f t="shared" si="80"/>
        <v>0.25</v>
      </c>
      <c r="J232" s="19">
        <v>1</v>
      </c>
      <c r="K232" s="16">
        <f t="shared" si="81"/>
        <v>25</v>
      </c>
      <c r="L232" s="19">
        <f t="shared" si="82"/>
        <v>0</v>
      </c>
      <c r="M232" s="16">
        <f t="shared" si="83"/>
        <v>0</v>
      </c>
    </row>
    <row r="233" spans="1:13" ht="15.75" x14ac:dyDescent="0.25">
      <c r="A233" s="8"/>
      <c r="B233" s="8"/>
      <c r="C233" s="8"/>
      <c r="D233" s="5">
        <v>30</v>
      </c>
      <c r="E233" s="16">
        <f t="shared" si="78"/>
        <v>0</v>
      </c>
      <c r="F233" s="16">
        <f t="shared" si="79"/>
        <v>0</v>
      </c>
      <c r="G233" s="17">
        <f>($C$8-E233)^2</f>
        <v>80.281600000000012</v>
      </c>
      <c r="H233" s="18">
        <f>2*(E233-$C$8)</f>
        <v>-17.920000000000002</v>
      </c>
      <c r="I233" s="16">
        <f t="shared" si="80"/>
        <v>0.25</v>
      </c>
      <c r="J233" s="19">
        <v>1</v>
      </c>
      <c r="K233" s="16">
        <f t="shared" si="81"/>
        <v>30</v>
      </c>
      <c r="L233" s="19">
        <f t="shared" si="82"/>
        <v>0</v>
      </c>
      <c r="M233" s="16">
        <f t="shared" si="83"/>
        <v>0</v>
      </c>
    </row>
    <row r="234" spans="1:13" ht="15.75" x14ac:dyDescent="0.25">
      <c r="A234" s="8"/>
      <c r="B234" s="8"/>
      <c r="C234" s="8"/>
      <c r="D234" s="5">
        <v>35</v>
      </c>
      <c r="E234" s="16">
        <f t="shared" si="78"/>
        <v>0</v>
      </c>
      <c r="F234" s="16">
        <f t="shared" si="79"/>
        <v>0</v>
      </c>
      <c r="G234" s="17">
        <f>($C$9-E234)^2</f>
        <v>101.13654444444444</v>
      </c>
      <c r="H234" s="18">
        <f>2*(E234-$C$9)</f>
        <v>-20.113333333333333</v>
      </c>
      <c r="I234" s="16">
        <f t="shared" si="80"/>
        <v>0.25</v>
      </c>
      <c r="J234" s="19">
        <v>1</v>
      </c>
      <c r="K234" s="16">
        <f t="shared" si="81"/>
        <v>35</v>
      </c>
      <c r="L234" s="19">
        <f t="shared" si="82"/>
        <v>0</v>
      </c>
      <c r="M234" s="16">
        <f t="shared" si="83"/>
        <v>0</v>
      </c>
    </row>
    <row r="235" spans="1:13" ht="15.75" x14ac:dyDescent="0.25">
      <c r="A235" s="8"/>
      <c r="B235" s="8"/>
      <c r="C235" s="8"/>
      <c r="D235" s="5">
        <v>40</v>
      </c>
      <c r="E235" s="16">
        <f t="shared" si="78"/>
        <v>0</v>
      </c>
      <c r="F235" s="16">
        <f t="shared" si="79"/>
        <v>0</v>
      </c>
      <c r="G235" s="17">
        <f>($C$10-E235)^2</f>
        <v>168.82671111111114</v>
      </c>
      <c r="H235" s="18">
        <f>2*(E235-$C$10)</f>
        <v>-25.986666666666668</v>
      </c>
      <c r="I235" s="16">
        <f t="shared" si="80"/>
        <v>0.25</v>
      </c>
      <c r="J235" s="19">
        <v>1</v>
      </c>
      <c r="K235" s="16">
        <f t="shared" si="81"/>
        <v>40</v>
      </c>
      <c r="L235" s="19">
        <f t="shared" si="82"/>
        <v>0</v>
      </c>
      <c r="M235" s="16">
        <f t="shared" si="83"/>
        <v>0</v>
      </c>
    </row>
    <row r="236" spans="1:13" ht="15.75" x14ac:dyDescent="0.25">
      <c r="A236" s="8"/>
      <c r="B236" s="8"/>
      <c r="C236" s="8"/>
      <c r="D236" s="5">
        <v>45</v>
      </c>
      <c r="E236" s="16">
        <f t="shared" si="78"/>
        <v>0</v>
      </c>
      <c r="F236" s="16">
        <f t="shared" si="79"/>
        <v>0</v>
      </c>
      <c r="G236" s="17">
        <f>($C$11-E236)^2</f>
        <v>208.22490000000005</v>
      </c>
      <c r="H236" s="18">
        <f>2*(E236-$C$11)</f>
        <v>-28.860000000000003</v>
      </c>
      <c r="I236" s="16">
        <f t="shared" si="80"/>
        <v>0.25</v>
      </c>
      <c r="J236" s="19">
        <v>1</v>
      </c>
      <c r="K236" s="16">
        <f t="shared" si="81"/>
        <v>45</v>
      </c>
      <c r="L236" s="19">
        <f t="shared" si="82"/>
        <v>0</v>
      </c>
      <c r="M236" s="16">
        <f t="shared" si="83"/>
        <v>0</v>
      </c>
    </row>
    <row r="237" spans="1:13" ht="16.5" thickBot="1" x14ac:dyDescent="0.3">
      <c r="A237" s="20"/>
      <c r="B237" s="20"/>
      <c r="C237" s="3"/>
      <c r="D237" s="5">
        <v>50</v>
      </c>
      <c r="E237" s="16">
        <f t="shared" si="78"/>
        <v>0</v>
      </c>
      <c r="F237" s="16">
        <f t="shared" si="79"/>
        <v>0</v>
      </c>
      <c r="G237" s="17">
        <f>($C$12-E237)^2</f>
        <v>206.40111111111116</v>
      </c>
      <c r="H237" s="18">
        <f>2*(E237-$C$12)</f>
        <v>-28.733333333333338</v>
      </c>
      <c r="I237" s="16">
        <f t="shared" si="80"/>
        <v>0.25</v>
      </c>
      <c r="J237" s="19">
        <v>1</v>
      </c>
      <c r="K237" s="16">
        <f t="shared" si="81"/>
        <v>50</v>
      </c>
      <c r="L237" s="19">
        <f t="shared" si="82"/>
        <v>0</v>
      </c>
      <c r="M237" s="16">
        <f t="shared" si="83"/>
        <v>0</v>
      </c>
    </row>
    <row r="238" spans="1:13" ht="16.5" thickTop="1" x14ac:dyDescent="0.25">
      <c r="A238" s="3"/>
      <c r="B238" s="3"/>
      <c r="C238" s="3"/>
      <c r="D238" s="3"/>
      <c r="E238" s="3"/>
      <c r="F238" s="3"/>
      <c r="G238" s="21">
        <f>SUM(G228:G237)</f>
        <v>892.15114444444464</v>
      </c>
      <c r="H238" s="11"/>
      <c r="I238" s="3"/>
      <c r="J238" s="3"/>
      <c r="K238" s="3"/>
      <c r="L238" s="22">
        <f>AVERAGE(L228:L237)</f>
        <v>0</v>
      </c>
      <c r="M238" s="22">
        <f>AVERAGE(M228:M237)</f>
        <v>0</v>
      </c>
    </row>
    <row r="240" spans="1:13" x14ac:dyDescent="0.25">
      <c r="A240" s="30" t="s">
        <v>36</v>
      </c>
    </row>
    <row r="241" spans="1:13" ht="31.5" x14ac:dyDescent="0.25">
      <c r="A241" s="8" t="s">
        <v>5</v>
      </c>
      <c r="B241" s="9" t="s">
        <v>6</v>
      </c>
      <c r="C241" s="3"/>
      <c r="D241" s="8" t="s">
        <v>7</v>
      </c>
      <c r="E241" s="10" t="s">
        <v>8</v>
      </c>
      <c r="F241" s="8" t="s">
        <v>9</v>
      </c>
      <c r="G241" s="8" t="s">
        <v>4</v>
      </c>
      <c r="H241" s="11"/>
      <c r="I241" s="3"/>
      <c r="J241" s="23" t="s">
        <v>49</v>
      </c>
      <c r="K241" s="24"/>
      <c r="L241" s="25" t="s">
        <v>10</v>
      </c>
      <c r="M241" s="26"/>
    </row>
    <row r="242" spans="1:13" ht="15.75" x14ac:dyDescent="0.25">
      <c r="A242" s="12" t="s">
        <v>50</v>
      </c>
      <c r="B242" s="12" t="s">
        <v>11</v>
      </c>
      <c r="C242" s="12"/>
      <c r="D242" s="12" t="s">
        <v>12</v>
      </c>
      <c r="E242" s="12" t="s">
        <v>45</v>
      </c>
      <c r="F242" s="12" t="s">
        <v>46</v>
      </c>
      <c r="G242" s="12" t="s">
        <v>13</v>
      </c>
      <c r="H242" s="13" t="s">
        <v>47</v>
      </c>
      <c r="I242" s="14" t="s">
        <v>48</v>
      </c>
      <c r="J242" s="13" t="s">
        <v>51</v>
      </c>
      <c r="K242" s="14" t="s">
        <v>14</v>
      </c>
      <c r="L242" s="15" t="s">
        <v>51</v>
      </c>
      <c r="M242" s="14" t="s">
        <v>14</v>
      </c>
    </row>
    <row r="243" spans="1:13" ht="15.75" x14ac:dyDescent="0.25">
      <c r="A243" s="8">
        <f>A228+L238</f>
        <v>0</v>
      </c>
      <c r="B243" s="8">
        <f>B228+M238</f>
        <v>0</v>
      </c>
      <c r="C243" s="8"/>
      <c r="D243" s="5">
        <v>5</v>
      </c>
      <c r="E243" s="16">
        <f>$A$243+$B$243*D243</f>
        <v>0</v>
      </c>
      <c r="F243" s="16">
        <f>E243</f>
        <v>0</v>
      </c>
      <c r="G243" s="17">
        <f>($C$3-E243)^2</f>
        <v>4.5796000000000001</v>
      </c>
      <c r="H243" s="18">
        <f>2*(E243-$C$3)</f>
        <v>-4.28</v>
      </c>
      <c r="I243" s="16">
        <f>EXP(E243)/(1 + EXP(E243))^2</f>
        <v>0.25</v>
      </c>
      <c r="J243" s="19">
        <v>1</v>
      </c>
      <c r="K243" s="16">
        <f>D243</f>
        <v>5</v>
      </c>
      <c r="L243" s="19">
        <f>-1*$C$14*H243*I243*J243</f>
        <v>0</v>
      </c>
      <c r="M243" s="16">
        <f>-1*$C$14*H243*I243*K243</f>
        <v>0</v>
      </c>
    </row>
    <row r="244" spans="1:13" ht="15.75" x14ac:dyDescent="0.25">
      <c r="A244" s="8"/>
      <c r="B244" s="8"/>
      <c r="C244" s="8"/>
      <c r="D244" s="5">
        <v>10</v>
      </c>
      <c r="E244" s="16">
        <f t="shared" ref="E244:E252" si="84">$A$243+$B$243*D244</f>
        <v>0</v>
      </c>
      <c r="F244" s="16">
        <f t="shared" ref="F244:F252" si="85">E244</f>
        <v>0</v>
      </c>
      <c r="G244" s="17">
        <f>($C$4-E244)^2</f>
        <v>11.424399999999999</v>
      </c>
      <c r="H244" s="18">
        <f>2*(E244-$C$4)</f>
        <v>-6.76</v>
      </c>
      <c r="I244" s="16">
        <f t="shared" ref="I244:I252" si="86">EXP(E244)/(1 + EXP(E244))^2</f>
        <v>0.25</v>
      </c>
      <c r="J244" s="19">
        <v>1</v>
      </c>
      <c r="K244" s="16">
        <f t="shared" ref="K244:K252" si="87">D244</f>
        <v>10</v>
      </c>
      <c r="L244" s="19">
        <f t="shared" ref="L244:L252" si="88">-1*$C$14*H244*I244*J244</f>
        <v>0</v>
      </c>
      <c r="M244" s="16">
        <f t="shared" ref="M244:M252" si="89">-1*$C$14*H244*I244*K244</f>
        <v>0</v>
      </c>
    </row>
    <row r="245" spans="1:13" ht="15.75" x14ac:dyDescent="0.25">
      <c r="A245" s="8"/>
      <c r="B245" s="8"/>
      <c r="C245" s="8"/>
      <c r="D245" s="5">
        <v>15</v>
      </c>
      <c r="E245" s="16">
        <f t="shared" si="84"/>
        <v>0</v>
      </c>
      <c r="F245" s="16">
        <f t="shared" si="85"/>
        <v>0</v>
      </c>
      <c r="G245" s="17">
        <f>($C$5-E245)^2</f>
        <v>14.8996</v>
      </c>
      <c r="H245" s="18">
        <f>2*(E245-$C$5)</f>
        <v>-7.72</v>
      </c>
      <c r="I245" s="16">
        <f t="shared" si="86"/>
        <v>0.25</v>
      </c>
      <c r="J245" s="19">
        <v>1</v>
      </c>
      <c r="K245" s="16">
        <f t="shared" si="87"/>
        <v>15</v>
      </c>
      <c r="L245" s="19">
        <f t="shared" si="88"/>
        <v>0</v>
      </c>
      <c r="M245" s="16">
        <f t="shared" si="89"/>
        <v>0</v>
      </c>
    </row>
    <row r="246" spans="1:13" ht="15.75" x14ac:dyDescent="0.25">
      <c r="A246" s="8"/>
      <c r="B246" s="8"/>
      <c r="C246" s="8"/>
      <c r="D246" s="5">
        <v>20</v>
      </c>
      <c r="E246" s="16">
        <f t="shared" si="84"/>
        <v>0</v>
      </c>
      <c r="F246" s="16">
        <f t="shared" si="85"/>
        <v>0</v>
      </c>
      <c r="G246" s="17">
        <f>($C$6-E246)^2</f>
        <v>20.976400000000002</v>
      </c>
      <c r="H246" s="18">
        <f>2*(E246-$C$6)</f>
        <v>-9.16</v>
      </c>
      <c r="I246" s="16">
        <f t="shared" si="86"/>
        <v>0.25</v>
      </c>
      <c r="J246" s="19">
        <v>1</v>
      </c>
      <c r="K246" s="16">
        <f t="shared" si="87"/>
        <v>20</v>
      </c>
      <c r="L246" s="19">
        <f t="shared" si="88"/>
        <v>0</v>
      </c>
      <c r="M246" s="16">
        <f t="shared" si="89"/>
        <v>0</v>
      </c>
    </row>
    <row r="247" spans="1:13" ht="15.75" x14ac:dyDescent="0.25">
      <c r="A247" s="8"/>
      <c r="B247" s="8"/>
      <c r="C247" s="8"/>
      <c r="D247" s="5">
        <v>25</v>
      </c>
      <c r="E247" s="16">
        <f t="shared" si="84"/>
        <v>0</v>
      </c>
      <c r="F247" s="16">
        <f t="shared" si="85"/>
        <v>0</v>
      </c>
      <c r="G247" s="17">
        <f>($C$7-E247)^2</f>
        <v>75.400277777777788</v>
      </c>
      <c r="H247" s="18">
        <f>2*(E247-$C$7)</f>
        <v>-17.366666666666667</v>
      </c>
      <c r="I247" s="16">
        <f t="shared" si="86"/>
        <v>0.25</v>
      </c>
      <c r="J247" s="19">
        <v>1</v>
      </c>
      <c r="K247" s="16">
        <f t="shared" si="87"/>
        <v>25</v>
      </c>
      <c r="L247" s="19">
        <f t="shared" si="88"/>
        <v>0</v>
      </c>
      <c r="M247" s="16">
        <f t="shared" si="89"/>
        <v>0</v>
      </c>
    </row>
    <row r="248" spans="1:13" ht="15.75" x14ac:dyDescent="0.25">
      <c r="A248" s="8"/>
      <c r="B248" s="8"/>
      <c r="C248" s="8"/>
      <c r="D248" s="5">
        <v>30</v>
      </c>
      <c r="E248" s="16">
        <f t="shared" si="84"/>
        <v>0</v>
      </c>
      <c r="F248" s="16">
        <f t="shared" si="85"/>
        <v>0</v>
      </c>
      <c r="G248" s="17">
        <f>($C$8-E248)^2</f>
        <v>80.281600000000012</v>
      </c>
      <c r="H248" s="18">
        <f>2*(E248-$C$8)</f>
        <v>-17.920000000000002</v>
      </c>
      <c r="I248" s="16">
        <f t="shared" si="86"/>
        <v>0.25</v>
      </c>
      <c r="J248" s="19">
        <v>1</v>
      </c>
      <c r="K248" s="16">
        <f t="shared" si="87"/>
        <v>30</v>
      </c>
      <c r="L248" s="19">
        <f t="shared" si="88"/>
        <v>0</v>
      </c>
      <c r="M248" s="16">
        <f t="shared" si="89"/>
        <v>0</v>
      </c>
    </row>
    <row r="249" spans="1:13" ht="15.75" x14ac:dyDescent="0.25">
      <c r="A249" s="8"/>
      <c r="B249" s="8"/>
      <c r="C249" s="8"/>
      <c r="D249" s="5">
        <v>35</v>
      </c>
      <c r="E249" s="16">
        <f t="shared" si="84"/>
        <v>0</v>
      </c>
      <c r="F249" s="16">
        <f t="shared" si="85"/>
        <v>0</v>
      </c>
      <c r="G249" s="17">
        <f>($C$9-E249)^2</f>
        <v>101.13654444444444</v>
      </c>
      <c r="H249" s="18">
        <f>2*(E249-$C$9)</f>
        <v>-20.113333333333333</v>
      </c>
      <c r="I249" s="16">
        <f t="shared" si="86"/>
        <v>0.25</v>
      </c>
      <c r="J249" s="19">
        <v>1</v>
      </c>
      <c r="K249" s="16">
        <f t="shared" si="87"/>
        <v>35</v>
      </c>
      <c r="L249" s="19">
        <f t="shared" si="88"/>
        <v>0</v>
      </c>
      <c r="M249" s="16">
        <f t="shared" si="89"/>
        <v>0</v>
      </c>
    </row>
    <row r="250" spans="1:13" ht="15.75" x14ac:dyDescent="0.25">
      <c r="A250" s="8"/>
      <c r="B250" s="8"/>
      <c r="C250" s="8"/>
      <c r="D250" s="5">
        <v>40</v>
      </c>
      <c r="E250" s="16">
        <f t="shared" si="84"/>
        <v>0</v>
      </c>
      <c r="F250" s="16">
        <f t="shared" si="85"/>
        <v>0</v>
      </c>
      <c r="G250" s="17">
        <f>($C$10-E250)^2</f>
        <v>168.82671111111114</v>
      </c>
      <c r="H250" s="18">
        <f>2*(E250-$C$10)</f>
        <v>-25.986666666666668</v>
      </c>
      <c r="I250" s="16">
        <f t="shared" si="86"/>
        <v>0.25</v>
      </c>
      <c r="J250" s="19">
        <v>1</v>
      </c>
      <c r="K250" s="16">
        <f t="shared" si="87"/>
        <v>40</v>
      </c>
      <c r="L250" s="19">
        <f t="shared" si="88"/>
        <v>0</v>
      </c>
      <c r="M250" s="16">
        <f t="shared" si="89"/>
        <v>0</v>
      </c>
    </row>
    <row r="251" spans="1:13" ht="15.75" x14ac:dyDescent="0.25">
      <c r="A251" s="8"/>
      <c r="B251" s="8"/>
      <c r="C251" s="8"/>
      <c r="D251" s="5">
        <v>45</v>
      </c>
      <c r="E251" s="16">
        <f t="shared" si="84"/>
        <v>0</v>
      </c>
      <c r="F251" s="16">
        <f t="shared" si="85"/>
        <v>0</v>
      </c>
      <c r="G251" s="17">
        <f>($C$11-E251)^2</f>
        <v>208.22490000000005</v>
      </c>
      <c r="H251" s="18">
        <f>2*(E251-$C$11)</f>
        <v>-28.860000000000003</v>
      </c>
      <c r="I251" s="16">
        <f t="shared" si="86"/>
        <v>0.25</v>
      </c>
      <c r="J251" s="19">
        <v>1</v>
      </c>
      <c r="K251" s="16">
        <f t="shared" si="87"/>
        <v>45</v>
      </c>
      <c r="L251" s="19">
        <f t="shared" si="88"/>
        <v>0</v>
      </c>
      <c r="M251" s="16">
        <f t="shared" si="89"/>
        <v>0</v>
      </c>
    </row>
    <row r="252" spans="1:13" ht="16.5" thickBot="1" x14ac:dyDescent="0.3">
      <c r="A252" s="20"/>
      <c r="B252" s="20"/>
      <c r="C252" s="3"/>
      <c r="D252" s="5">
        <v>50</v>
      </c>
      <c r="E252" s="16">
        <f t="shared" si="84"/>
        <v>0</v>
      </c>
      <c r="F252" s="16">
        <f t="shared" si="85"/>
        <v>0</v>
      </c>
      <c r="G252" s="17">
        <f>($C$12-E252)^2</f>
        <v>206.40111111111116</v>
      </c>
      <c r="H252" s="18">
        <f>2*(E252-$C$12)</f>
        <v>-28.733333333333338</v>
      </c>
      <c r="I252" s="16">
        <f t="shared" si="86"/>
        <v>0.25</v>
      </c>
      <c r="J252" s="19">
        <v>1</v>
      </c>
      <c r="K252" s="16">
        <f t="shared" si="87"/>
        <v>50</v>
      </c>
      <c r="L252" s="19">
        <f t="shared" si="88"/>
        <v>0</v>
      </c>
      <c r="M252" s="16">
        <f t="shared" si="89"/>
        <v>0</v>
      </c>
    </row>
    <row r="253" spans="1:13" ht="16.5" thickTop="1" x14ac:dyDescent="0.25">
      <c r="A253" s="3"/>
      <c r="B253" s="3"/>
      <c r="C253" s="3"/>
      <c r="D253" s="3"/>
      <c r="E253" s="3"/>
      <c r="F253" s="3"/>
      <c r="G253" s="21">
        <f>SUM(G243:G252)</f>
        <v>892.15114444444464</v>
      </c>
      <c r="H253" s="11"/>
      <c r="I253" s="3"/>
      <c r="J253" s="3"/>
      <c r="K253" s="3"/>
      <c r="L253" s="22">
        <f>AVERAGE(L243:L252)</f>
        <v>0</v>
      </c>
      <c r="M253" s="22">
        <f>AVERAGE(M243:M252)</f>
        <v>0</v>
      </c>
    </row>
    <row r="255" spans="1:13" x14ac:dyDescent="0.25">
      <c r="A255" s="30" t="s">
        <v>36</v>
      </c>
    </row>
    <row r="256" spans="1:13" ht="31.5" x14ac:dyDescent="0.25">
      <c r="A256" s="8" t="s">
        <v>5</v>
      </c>
      <c r="B256" s="9" t="s">
        <v>6</v>
      </c>
      <c r="C256" s="3"/>
      <c r="D256" s="8" t="s">
        <v>7</v>
      </c>
      <c r="E256" s="10" t="s">
        <v>8</v>
      </c>
      <c r="F256" s="8" t="s">
        <v>9</v>
      </c>
      <c r="G256" s="8" t="s">
        <v>4</v>
      </c>
      <c r="H256" s="11"/>
      <c r="I256" s="3"/>
      <c r="J256" s="23" t="s">
        <v>49</v>
      </c>
      <c r="K256" s="24"/>
      <c r="L256" s="25" t="s">
        <v>10</v>
      </c>
      <c r="M256" s="26"/>
    </row>
    <row r="257" spans="1:13" ht="15.75" x14ac:dyDescent="0.25">
      <c r="A257" s="12" t="s">
        <v>50</v>
      </c>
      <c r="B257" s="12" t="s">
        <v>11</v>
      </c>
      <c r="C257" s="12"/>
      <c r="D257" s="12" t="s">
        <v>12</v>
      </c>
      <c r="E257" s="12" t="s">
        <v>45</v>
      </c>
      <c r="F257" s="12" t="s">
        <v>46</v>
      </c>
      <c r="G257" s="12" t="s">
        <v>13</v>
      </c>
      <c r="H257" s="13" t="s">
        <v>47</v>
      </c>
      <c r="I257" s="14" t="s">
        <v>48</v>
      </c>
      <c r="J257" s="13" t="s">
        <v>51</v>
      </c>
      <c r="K257" s="14" t="s">
        <v>14</v>
      </c>
      <c r="L257" s="15" t="s">
        <v>51</v>
      </c>
      <c r="M257" s="14" t="s">
        <v>14</v>
      </c>
    </row>
    <row r="258" spans="1:13" ht="15.75" x14ac:dyDescent="0.25">
      <c r="A258" s="8">
        <f>A243+L253</f>
        <v>0</v>
      </c>
      <c r="B258" s="8">
        <f>B243+M253</f>
        <v>0</v>
      </c>
      <c r="C258" s="8"/>
      <c r="D258" s="5">
        <v>5</v>
      </c>
      <c r="E258" s="16">
        <f>$A$258+$B$258*D258</f>
        <v>0</v>
      </c>
      <c r="F258" s="16">
        <f>E258</f>
        <v>0</v>
      </c>
      <c r="G258" s="17">
        <f>($C$3-E258)^2</f>
        <v>4.5796000000000001</v>
      </c>
      <c r="H258" s="18">
        <f>2*(E258-$C$3)</f>
        <v>-4.28</v>
      </c>
      <c r="I258" s="16">
        <f>EXP(E258)/(1 + EXP(E258))^2</f>
        <v>0.25</v>
      </c>
      <c r="J258" s="19">
        <v>1</v>
      </c>
      <c r="K258" s="16">
        <f>D258</f>
        <v>5</v>
      </c>
      <c r="L258" s="19">
        <f>-1*$C$14*H258*I258*J258</f>
        <v>0</v>
      </c>
      <c r="M258" s="16">
        <f>-1*$C$14*H258*I258*K258</f>
        <v>0</v>
      </c>
    </row>
    <row r="259" spans="1:13" ht="15.75" x14ac:dyDescent="0.25">
      <c r="A259" s="8"/>
      <c r="B259" s="8"/>
      <c r="C259" s="8"/>
      <c r="D259" s="5">
        <v>10</v>
      </c>
      <c r="E259" s="16">
        <f t="shared" ref="E259:E267" si="90">$A$258+$B$258*D259</f>
        <v>0</v>
      </c>
      <c r="F259" s="16">
        <f t="shared" ref="F259:F267" si="91">E259</f>
        <v>0</v>
      </c>
      <c r="G259" s="17">
        <f>($C$4-E259)^2</f>
        <v>11.424399999999999</v>
      </c>
      <c r="H259" s="18">
        <f>2*(E259-$C$4)</f>
        <v>-6.76</v>
      </c>
      <c r="I259" s="16">
        <f t="shared" ref="I259:I267" si="92">EXP(E259)/(1 + EXP(E259))^2</f>
        <v>0.25</v>
      </c>
      <c r="J259" s="19">
        <v>1</v>
      </c>
      <c r="K259" s="16">
        <f t="shared" ref="K259:K267" si="93">D259</f>
        <v>10</v>
      </c>
      <c r="L259" s="19">
        <f t="shared" ref="L259:L267" si="94">-1*$C$14*H259*I259*J259</f>
        <v>0</v>
      </c>
      <c r="M259" s="16">
        <f t="shared" ref="M259:M267" si="95">-1*$C$14*H259*I259*K259</f>
        <v>0</v>
      </c>
    </row>
    <row r="260" spans="1:13" ht="15.75" x14ac:dyDescent="0.25">
      <c r="A260" s="8"/>
      <c r="B260" s="8"/>
      <c r="C260" s="8"/>
      <c r="D260" s="5">
        <v>15</v>
      </c>
      <c r="E260" s="16">
        <f t="shared" si="90"/>
        <v>0</v>
      </c>
      <c r="F260" s="16">
        <f t="shared" si="91"/>
        <v>0</v>
      </c>
      <c r="G260" s="17">
        <f>($C$5-E260)^2</f>
        <v>14.8996</v>
      </c>
      <c r="H260" s="18">
        <f>2*(E260-$C$5)</f>
        <v>-7.72</v>
      </c>
      <c r="I260" s="16">
        <f t="shared" si="92"/>
        <v>0.25</v>
      </c>
      <c r="J260" s="19">
        <v>1</v>
      </c>
      <c r="K260" s="16">
        <f t="shared" si="93"/>
        <v>15</v>
      </c>
      <c r="L260" s="19">
        <f t="shared" si="94"/>
        <v>0</v>
      </c>
      <c r="M260" s="16">
        <f t="shared" si="95"/>
        <v>0</v>
      </c>
    </row>
    <row r="261" spans="1:13" ht="15.75" x14ac:dyDescent="0.25">
      <c r="A261" s="8"/>
      <c r="B261" s="8"/>
      <c r="C261" s="8"/>
      <c r="D261" s="5">
        <v>20</v>
      </c>
      <c r="E261" s="16">
        <f t="shared" si="90"/>
        <v>0</v>
      </c>
      <c r="F261" s="16">
        <f t="shared" si="91"/>
        <v>0</v>
      </c>
      <c r="G261" s="17">
        <f>($C$6-E261)^2</f>
        <v>20.976400000000002</v>
      </c>
      <c r="H261" s="18">
        <f>2*(E261-$C$6)</f>
        <v>-9.16</v>
      </c>
      <c r="I261" s="16">
        <f t="shared" si="92"/>
        <v>0.25</v>
      </c>
      <c r="J261" s="19">
        <v>1</v>
      </c>
      <c r="K261" s="16">
        <f t="shared" si="93"/>
        <v>20</v>
      </c>
      <c r="L261" s="19">
        <f t="shared" si="94"/>
        <v>0</v>
      </c>
      <c r="M261" s="16">
        <f t="shared" si="95"/>
        <v>0</v>
      </c>
    </row>
    <row r="262" spans="1:13" ht="15.75" x14ac:dyDescent="0.25">
      <c r="A262" s="8"/>
      <c r="B262" s="8"/>
      <c r="C262" s="8"/>
      <c r="D262" s="5">
        <v>25</v>
      </c>
      <c r="E262" s="16">
        <f t="shared" si="90"/>
        <v>0</v>
      </c>
      <c r="F262" s="16">
        <f t="shared" si="91"/>
        <v>0</v>
      </c>
      <c r="G262" s="17">
        <f>($C$7-E262)^2</f>
        <v>75.400277777777788</v>
      </c>
      <c r="H262" s="18">
        <f>2*(E262-$C$7)</f>
        <v>-17.366666666666667</v>
      </c>
      <c r="I262" s="16">
        <f t="shared" si="92"/>
        <v>0.25</v>
      </c>
      <c r="J262" s="19">
        <v>1</v>
      </c>
      <c r="K262" s="16">
        <f t="shared" si="93"/>
        <v>25</v>
      </c>
      <c r="L262" s="19">
        <f t="shared" si="94"/>
        <v>0</v>
      </c>
      <c r="M262" s="16">
        <f t="shared" si="95"/>
        <v>0</v>
      </c>
    </row>
    <row r="263" spans="1:13" ht="15.75" x14ac:dyDescent="0.25">
      <c r="A263" s="8"/>
      <c r="B263" s="8"/>
      <c r="C263" s="8"/>
      <c r="D263" s="5">
        <v>30</v>
      </c>
      <c r="E263" s="16">
        <f t="shared" si="90"/>
        <v>0</v>
      </c>
      <c r="F263" s="16">
        <f t="shared" si="91"/>
        <v>0</v>
      </c>
      <c r="G263" s="17">
        <f>($C$8-E263)^2</f>
        <v>80.281600000000012</v>
      </c>
      <c r="H263" s="18">
        <f>2*(E263-$C$8)</f>
        <v>-17.920000000000002</v>
      </c>
      <c r="I263" s="16">
        <f t="shared" si="92"/>
        <v>0.25</v>
      </c>
      <c r="J263" s="19">
        <v>1</v>
      </c>
      <c r="K263" s="16">
        <f t="shared" si="93"/>
        <v>30</v>
      </c>
      <c r="L263" s="19">
        <f t="shared" si="94"/>
        <v>0</v>
      </c>
      <c r="M263" s="16">
        <f t="shared" si="95"/>
        <v>0</v>
      </c>
    </row>
    <row r="264" spans="1:13" ht="15.75" x14ac:dyDescent="0.25">
      <c r="A264" s="8"/>
      <c r="B264" s="8"/>
      <c r="C264" s="8"/>
      <c r="D264" s="5">
        <v>35</v>
      </c>
      <c r="E264" s="16">
        <f t="shared" si="90"/>
        <v>0</v>
      </c>
      <c r="F264" s="16">
        <f t="shared" si="91"/>
        <v>0</v>
      </c>
      <c r="G264" s="17">
        <f>($C$9-E264)^2</f>
        <v>101.13654444444444</v>
      </c>
      <c r="H264" s="18">
        <f>2*(E264-$C$9)</f>
        <v>-20.113333333333333</v>
      </c>
      <c r="I264" s="16">
        <f t="shared" si="92"/>
        <v>0.25</v>
      </c>
      <c r="J264" s="19">
        <v>1</v>
      </c>
      <c r="K264" s="16">
        <f t="shared" si="93"/>
        <v>35</v>
      </c>
      <c r="L264" s="19">
        <f t="shared" si="94"/>
        <v>0</v>
      </c>
      <c r="M264" s="16">
        <f t="shared" si="95"/>
        <v>0</v>
      </c>
    </row>
    <row r="265" spans="1:13" ht="15.75" x14ac:dyDescent="0.25">
      <c r="A265" s="8"/>
      <c r="B265" s="8"/>
      <c r="C265" s="8"/>
      <c r="D265" s="5">
        <v>40</v>
      </c>
      <c r="E265" s="16">
        <f t="shared" si="90"/>
        <v>0</v>
      </c>
      <c r="F265" s="16">
        <f t="shared" si="91"/>
        <v>0</v>
      </c>
      <c r="G265" s="17">
        <f>($C$10-E265)^2</f>
        <v>168.82671111111114</v>
      </c>
      <c r="H265" s="18">
        <f>2*(E265-$C$10)</f>
        <v>-25.986666666666668</v>
      </c>
      <c r="I265" s="16">
        <f t="shared" si="92"/>
        <v>0.25</v>
      </c>
      <c r="J265" s="19">
        <v>1</v>
      </c>
      <c r="K265" s="16">
        <f t="shared" si="93"/>
        <v>40</v>
      </c>
      <c r="L265" s="19">
        <f t="shared" si="94"/>
        <v>0</v>
      </c>
      <c r="M265" s="16">
        <f t="shared" si="95"/>
        <v>0</v>
      </c>
    </row>
    <row r="266" spans="1:13" ht="15.75" x14ac:dyDescent="0.25">
      <c r="A266" s="8"/>
      <c r="B266" s="8"/>
      <c r="C266" s="8"/>
      <c r="D266" s="5">
        <v>45</v>
      </c>
      <c r="E266" s="16">
        <f t="shared" si="90"/>
        <v>0</v>
      </c>
      <c r="F266" s="16">
        <f t="shared" si="91"/>
        <v>0</v>
      </c>
      <c r="G266" s="17">
        <f>($C$11-E266)^2</f>
        <v>208.22490000000005</v>
      </c>
      <c r="H266" s="18">
        <f>2*(E266-$C$11)</f>
        <v>-28.860000000000003</v>
      </c>
      <c r="I266" s="16">
        <f t="shared" si="92"/>
        <v>0.25</v>
      </c>
      <c r="J266" s="19">
        <v>1</v>
      </c>
      <c r="K266" s="16">
        <f t="shared" si="93"/>
        <v>45</v>
      </c>
      <c r="L266" s="19">
        <f t="shared" si="94"/>
        <v>0</v>
      </c>
      <c r="M266" s="16">
        <f t="shared" si="95"/>
        <v>0</v>
      </c>
    </row>
    <row r="267" spans="1:13" ht="16.5" thickBot="1" x14ac:dyDescent="0.3">
      <c r="A267" s="20"/>
      <c r="B267" s="20"/>
      <c r="C267" s="3"/>
      <c r="D267" s="5">
        <v>50</v>
      </c>
      <c r="E267" s="16">
        <f t="shared" si="90"/>
        <v>0</v>
      </c>
      <c r="F267" s="16">
        <f t="shared" si="91"/>
        <v>0</v>
      </c>
      <c r="G267" s="17">
        <f>($C$12-E267)^2</f>
        <v>206.40111111111116</v>
      </c>
      <c r="H267" s="18">
        <f>2*(E267-$C$12)</f>
        <v>-28.733333333333338</v>
      </c>
      <c r="I267" s="16">
        <f t="shared" si="92"/>
        <v>0.25</v>
      </c>
      <c r="J267" s="19">
        <v>1</v>
      </c>
      <c r="K267" s="16">
        <f t="shared" si="93"/>
        <v>50</v>
      </c>
      <c r="L267" s="19">
        <f t="shared" si="94"/>
        <v>0</v>
      </c>
      <c r="M267" s="16">
        <f t="shared" si="95"/>
        <v>0</v>
      </c>
    </row>
    <row r="268" spans="1:13" ht="16.5" thickTop="1" x14ac:dyDescent="0.25">
      <c r="A268" s="3"/>
      <c r="B268" s="3"/>
      <c r="C268" s="3"/>
      <c r="D268" s="3"/>
      <c r="E268" s="3"/>
      <c r="F268" s="3"/>
      <c r="G268" s="21">
        <f>SUM(G258:G267)</f>
        <v>892.15114444444464</v>
      </c>
      <c r="H268" s="11"/>
      <c r="I268" s="3"/>
      <c r="J268" s="3"/>
      <c r="K268" s="3"/>
      <c r="L268" s="22">
        <f>AVERAGE(L258:L267)</f>
        <v>0</v>
      </c>
      <c r="M268" s="22">
        <f>AVERAGE(M258:M267)</f>
        <v>0</v>
      </c>
    </row>
    <row r="270" spans="1:13" x14ac:dyDescent="0.25">
      <c r="A270" s="30" t="s">
        <v>37</v>
      </c>
    </row>
    <row r="271" spans="1:13" ht="31.5" x14ac:dyDescent="0.25">
      <c r="A271" s="8" t="s">
        <v>5</v>
      </c>
      <c r="B271" s="9" t="s">
        <v>6</v>
      </c>
      <c r="C271" s="3"/>
      <c r="D271" s="8" t="s">
        <v>7</v>
      </c>
      <c r="E271" s="10" t="s">
        <v>8</v>
      </c>
      <c r="F271" s="8" t="s">
        <v>9</v>
      </c>
      <c r="G271" s="8" t="s">
        <v>4</v>
      </c>
      <c r="H271" s="11"/>
      <c r="I271" s="3"/>
      <c r="J271" s="23" t="s">
        <v>49</v>
      </c>
      <c r="K271" s="24"/>
      <c r="L271" s="25" t="s">
        <v>10</v>
      </c>
      <c r="M271" s="26"/>
    </row>
    <row r="272" spans="1:13" ht="15.75" x14ac:dyDescent="0.25">
      <c r="A272" s="12" t="s">
        <v>50</v>
      </c>
      <c r="B272" s="12" t="s">
        <v>11</v>
      </c>
      <c r="C272" s="12"/>
      <c r="D272" s="12" t="s">
        <v>12</v>
      </c>
      <c r="E272" s="12" t="s">
        <v>45</v>
      </c>
      <c r="F272" s="12" t="s">
        <v>46</v>
      </c>
      <c r="G272" s="12" t="s">
        <v>13</v>
      </c>
      <c r="H272" s="13" t="s">
        <v>47</v>
      </c>
      <c r="I272" s="14" t="s">
        <v>48</v>
      </c>
      <c r="J272" s="13" t="s">
        <v>51</v>
      </c>
      <c r="K272" s="14" t="s">
        <v>14</v>
      </c>
      <c r="L272" s="15" t="s">
        <v>51</v>
      </c>
      <c r="M272" s="14" t="s">
        <v>14</v>
      </c>
    </row>
    <row r="273" spans="1:13" ht="15.75" x14ac:dyDescent="0.25">
      <c r="A273" s="8">
        <f>A258+L268</f>
        <v>0</v>
      </c>
      <c r="B273" s="8">
        <f>B258+M268</f>
        <v>0</v>
      </c>
      <c r="C273" s="8"/>
      <c r="D273" s="5">
        <v>5</v>
      </c>
      <c r="E273" s="16">
        <f>$A$273+$B$273*D273</f>
        <v>0</v>
      </c>
      <c r="F273" s="16">
        <f>E273</f>
        <v>0</v>
      </c>
      <c r="G273" s="17">
        <f>($C$3-E273)^2</f>
        <v>4.5796000000000001</v>
      </c>
      <c r="H273" s="18">
        <f>2*(E273-$C$3)</f>
        <v>-4.28</v>
      </c>
      <c r="I273" s="16">
        <f>EXP(E273)/(1 + EXP(E273))^2</f>
        <v>0.25</v>
      </c>
      <c r="J273" s="19">
        <v>1</v>
      </c>
      <c r="K273" s="16">
        <f>D273</f>
        <v>5</v>
      </c>
      <c r="L273" s="19">
        <f>-1*$C$14*H273*I273*J273</f>
        <v>0</v>
      </c>
      <c r="M273" s="16">
        <f>-1*$C$14*H273*I273*K273</f>
        <v>0</v>
      </c>
    </row>
    <row r="274" spans="1:13" ht="15.75" x14ac:dyDescent="0.25">
      <c r="A274" s="8"/>
      <c r="B274" s="8"/>
      <c r="C274" s="8"/>
      <c r="D274" s="5">
        <v>10</v>
      </c>
      <c r="E274" s="16">
        <f t="shared" ref="E274:E282" si="96">$A$273+$B$273*D274</f>
        <v>0</v>
      </c>
      <c r="F274" s="16">
        <f t="shared" ref="F274:F282" si="97">E274</f>
        <v>0</v>
      </c>
      <c r="G274" s="17">
        <f>($C$4-E274)^2</f>
        <v>11.424399999999999</v>
      </c>
      <c r="H274" s="18">
        <f>2*(E274-$C$4)</f>
        <v>-6.76</v>
      </c>
      <c r="I274" s="16">
        <f t="shared" ref="I274:I282" si="98">EXP(E274)/(1 + EXP(E274))^2</f>
        <v>0.25</v>
      </c>
      <c r="J274" s="19">
        <v>1</v>
      </c>
      <c r="K274" s="16">
        <f t="shared" ref="K274:K282" si="99">D274</f>
        <v>10</v>
      </c>
      <c r="L274" s="19">
        <f t="shared" ref="L274:L282" si="100">-1*$C$14*H274*I274*J274</f>
        <v>0</v>
      </c>
      <c r="M274" s="16">
        <f t="shared" ref="M274:M282" si="101">-1*$C$14*H274*I274*K274</f>
        <v>0</v>
      </c>
    </row>
    <row r="275" spans="1:13" ht="15.75" x14ac:dyDescent="0.25">
      <c r="A275" s="8"/>
      <c r="B275" s="8"/>
      <c r="C275" s="8"/>
      <c r="D275" s="5">
        <v>15</v>
      </c>
      <c r="E275" s="16">
        <f t="shared" si="96"/>
        <v>0</v>
      </c>
      <c r="F275" s="16">
        <f t="shared" si="97"/>
        <v>0</v>
      </c>
      <c r="G275" s="17">
        <f>($C$5-E275)^2</f>
        <v>14.8996</v>
      </c>
      <c r="H275" s="18">
        <f>2*(E275-$C$5)</f>
        <v>-7.72</v>
      </c>
      <c r="I275" s="16">
        <f t="shared" si="98"/>
        <v>0.25</v>
      </c>
      <c r="J275" s="19">
        <v>1</v>
      </c>
      <c r="K275" s="16">
        <f t="shared" si="99"/>
        <v>15</v>
      </c>
      <c r="L275" s="19">
        <f t="shared" si="100"/>
        <v>0</v>
      </c>
      <c r="M275" s="16">
        <f t="shared" si="101"/>
        <v>0</v>
      </c>
    </row>
    <row r="276" spans="1:13" ht="15.75" x14ac:dyDescent="0.25">
      <c r="A276" s="8"/>
      <c r="B276" s="8"/>
      <c r="C276" s="8"/>
      <c r="D276" s="5">
        <v>20</v>
      </c>
      <c r="E276" s="16">
        <f t="shared" si="96"/>
        <v>0</v>
      </c>
      <c r="F276" s="16">
        <f t="shared" si="97"/>
        <v>0</v>
      </c>
      <c r="G276" s="17">
        <f>($C$6-E276)^2</f>
        <v>20.976400000000002</v>
      </c>
      <c r="H276" s="18">
        <f>2*(E276-$C$6)</f>
        <v>-9.16</v>
      </c>
      <c r="I276" s="16">
        <f t="shared" si="98"/>
        <v>0.25</v>
      </c>
      <c r="J276" s="19">
        <v>1</v>
      </c>
      <c r="K276" s="16">
        <f t="shared" si="99"/>
        <v>20</v>
      </c>
      <c r="L276" s="19">
        <f t="shared" si="100"/>
        <v>0</v>
      </c>
      <c r="M276" s="16">
        <f t="shared" si="101"/>
        <v>0</v>
      </c>
    </row>
    <row r="277" spans="1:13" ht="15.75" x14ac:dyDescent="0.25">
      <c r="A277" s="8"/>
      <c r="B277" s="8"/>
      <c r="C277" s="8"/>
      <c r="D277" s="5">
        <v>25</v>
      </c>
      <c r="E277" s="16">
        <f t="shared" si="96"/>
        <v>0</v>
      </c>
      <c r="F277" s="16">
        <f t="shared" si="97"/>
        <v>0</v>
      </c>
      <c r="G277" s="17">
        <f>($C$7-E277)^2</f>
        <v>75.400277777777788</v>
      </c>
      <c r="H277" s="18">
        <f>2*(E277-$C$7)</f>
        <v>-17.366666666666667</v>
      </c>
      <c r="I277" s="16">
        <f t="shared" si="98"/>
        <v>0.25</v>
      </c>
      <c r="J277" s="19">
        <v>1</v>
      </c>
      <c r="K277" s="16">
        <f t="shared" si="99"/>
        <v>25</v>
      </c>
      <c r="L277" s="19">
        <f t="shared" si="100"/>
        <v>0</v>
      </c>
      <c r="M277" s="16">
        <f t="shared" si="101"/>
        <v>0</v>
      </c>
    </row>
    <row r="278" spans="1:13" ht="15.75" x14ac:dyDescent="0.25">
      <c r="A278" s="8"/>
      <c r="B278" s="8"/>
      <c r="C278" s="8"/>
      <c r="D278" s="5">
        <v>30</v>
      </c>
      <c r="E278" s="16">
        <f t="shared" si="96"/>
        <v>0</v>
      </c>
      <c r="F278" s="16">
        <f t="shared" si="97"/>
        <v>0</v>
      </c>
      <c r="G278" s="17">
        <f>($C$8-E278)^2</f>
        <v>80.281600000000012</v>
      </c>
      <c r="H278" s="18">
        <f>2*(E278-$C$8)</f>
        <v>-17.920000000000002</v>
      </c>
      <c r="I278" s="16">
        <f t="shared" si="98"/>
        <v>0.25</v>
      </c>
      <c r="J278" s="19">
        <v>1</v>
      </c>
      <c r="K278" s="16">
        <f t="shared" si="99"/>
        <v>30</v>
      </c>
      <c r="L278" s="19">
        <f t="shared" si="100"/>
        <v>0</v>
      </c>
      <c r="M278" s="16">
        <f t="shared" si="101"/>
        <v>0</v>
      </c>
    </row>
    <row r="279" spans="1:13" ht="15.75" x14ac:dyDescent="0.25">
      <c r="A279" s="8"/>
      <c r="B279" s="8"/>
      <c r="C279" s="8"/>
      <c r="D279" s="5">
        <v>35</v>
      </c>
      <c r="E279" s="16">
        <f t="shared" si="96"/>
        <v>0</v>
      </c>
      <c r="F279" s="16">
        <f t="shared" si="97"/>
        <v>0</v>
      </c>
      <c r="G279" s="17">
        <f>($C$9-E279)^2</f>
        <v>101.13654444444444</v>
      </c>
      <c r="H279" s="18">
        <f>2*(E279-$C$9)</f>
        <v>-20.113333333333333</v>
      </c>
      <c r="I279" s="16">
        <f t="shared" si="98"/>
        <v>0.25</v>
      </c>
      <c r="J279" s="19">
        <v>1</v>
      </c>
      <c r="K279" s="16">
        <f t="shared" si="99"/>
        <v>35</v>
      </c>
      <c r="L279" s="19">
        <f t="shared" si="100"/>
        <v>0</v>
      </c>
      <c r="M279" s="16">
        <f t="shared" si="101"/>
        <v>0</v>
      </c>
    </row>
    <row r="280" spans="1:13" ht="15.75" x14ac:dyDescent="0.25">
      <c r="A280" s="8"/>
      <c r="B280" s="8"/>
      <c r="C280" s="8"/>
      <c r="D280" s="5">
        <v>40</v>
      </c>
      <c r="E280" s="16">
        <f t="shared" si="96"/>
        <v>0</v>
      </c>
      <c r="F280" s="16">
        <f t="shared" si="97"/>
        <v>0</v>
      </c>
      <c r="G280" s="17">
        <f>($C$10-E280)^2</f>
        <v>168.82671111111114</v>
      </c>
      <c r="H280" s="18">
        <f>2*(E280-$C$10)</f>
        <v>-25.986666666666668</v>
      </c>
      <c r="I280" s="16">
        <f t="shared" si="98"/>
        <v>0.25</v>
      </c>
      <c r="J280" s="19">
        <v>1</v>
      </c>
      <c r="K280" s="16">
        <f t="shared" si="99"/>
        <v>40</v>
      </c>
      <c r="L280" s="19">
        <f t="shared" si="100"/>
        <v>0</v>
      </c>
      <c r="M280" s="16">
        <f t="shared" si="101"/>
        <v>0</v>
      </c>
    </row>
    <row r="281" spans="1:13" ht="15.75" x14ac:dyDescent="0.25">
      <c r="A281" s="8"/>
      <c r="B281" s="8"/>
      <c r="C281" s="8"/>
      <c r="D281" s="5">
        <v>45</v>
      </c>
      <c r="E281" s="16">
        <f t="shared" si="96"/>
        <v>0</v>
      </c>
      <c r="F281" s="16">
        <f t="shared" si="97"/>
        <v>0</v>
      </c>
      <c r="G281" s="17">
        <f>($C$11-E281)^2</f>
        <v>208.22490000000005</v>
      </c>
      <c r="H281" s="18">
        <f>2*(E281-$C$11)</f>
        <v>-28.860000000000003</v>
      </c>
      <c r="I281" s="16">
        <f t="shared" si="98"/>
        <v>0.25</v>
      </c>
      <c r="J281" s="19">
        <v>1</v>
      </c>
      <c r="K281" s="16">
        <f t="shared" si="99"/>
        <v>45</v>
      </c>
      <c r="L281" s="19">
        <f t="shared" si="100"/>
        <v>0</v>
      </c>
      <c r="M281" s="16">
        <f t="shared" si="101"/>
        <v>0</v>
      </c>
    </row>
    <row r="282" spans="1:13" ht="16.5" thickBot="1" x14ac:dyDescent="0.3">
      <c r="A282" s="20"/>
      <c r="B282" s="20"/>
      <c r="C282" s="3"/>
      <c r="D282" s="5">
        <v>50</v>
      </c>
      <c r="E282" s="16">
        <f t="shared" si="96"/>
        <v>0</v>
      </c>
      <c r="F282" s="16">
        <f t="shared" si="97"/>
        <v>0</v>
      </c>
      <c r="G282" s="17">
        <f>($C$12-E282)^2</f>
        <v>206.40111111111116</v>
      </c>
      <c r="H282" s="18">
        <f>2*(E282-$C$12)</f>
        <v>-28.733333333333338</v>
      </c>
      <c r="I282" s="16">
        <f t="shared" si="98"/>
        <v>0.25</v>
      </c>
      <c r="J282" s="19">
        <v>1</v>
      </c>
      <c r="K282" s="16">
        <f t="shared" si="99"/>
        <v>50</v>
      </c>
      <c r="L282" s="19">
        <f t="shared" si="100"/>
        <v>0</v>
      </c>
      <c r="M282" s="16">
        <f t="shared" si="101"/>
        <v>0</v>
      </c>
    </row>
    <row r="283" spans="1:13" ht="16.5" thickTop="1" x14ac:dyDescent="0.25">
      <c r="A283" s="3"/>
      <c r="B283" s="3"/>
      <c r="C283" s="3"/>
      <c r="D283" s="3"/>
      <c r="E283" s="3"/>
      <c r="F283" s="3"/>
      <c r="G283" s="21">
        <f>SUM(G273:G282)</f>
        <v>892.15114444444464</v>
      </c>
      <c r="H283" s="11"/>
      <c r="I283" s="3"/>
      <c r="J283" s="3"/>
      <c r="K283" s="3"/>
      <c r="L283" s="22">
        <f>AVERAGE(L273:L282)</f>
        <v>0</v>
      </c>
      <c r="M283" s="22">
        <f>AVERAGE(M273:M282)</f>
        <v>0</v>
      </c>
    </row>
    <row r="285" spans="1:13" x14ac:dyDescent="0.25">
      <c r="A285" s="30" t="s">
        <v>38</v>
      </c>
    </row>
    <row r="286" spans="1:13" ht="31.5" x14ac:dyDescent="0.25">
      <c r="A286" s="8" t="s">
        <v>5</v>
      </c>
      <c r="B286" s="9" t="s">
        <v>6</v>
      </c>
      <c r="C286" s="3"/>
      <c r="D286" s="8" t="s">
        <v>7</v>
      </c>
      <c r="E286" s="10" t="s">
        <v>8</v>
      </c>
      <c r="F286" s="8" t="s">
        <v>9</v>
      </c>
      <c r="G286" s="8" t="s">
        <v>4</v>
      </c>
      <c r="H286" s="11"/>
      <c r="I286" s="3"/>
      <c r="J286" s="23" t="s">
        <v>49</v>
      </c>
      <c r="K286" s="24"/>
      <c r="L286" s="25" t="s">
        <v>10</v>
      </c>
      <c r="M286" s="26"/>
    </row>
    <row r="287" spans="1:13" ht="15.75" x14ac:dyDescent="0.25">
      <c r="A287" s="12" t="s">
        <v>50</v>
      </c>
      <c r="B287" s="12" t="s">
        <v>11</v>
      </c>
      <c r="C287" s="12"/>
      <c r="D287" s="12" t="s">
        <v>12</v>
      </c>
      <c r="E287" s="12" t="s">
        <v>45</v>
      </c>
      <c r="F287" s="12" t="s">
        <v>46</v>
      </c>
      <c r="G287" s="12" t="s">
        <v>13</v>
      </c>
      <c r="H287" s="13" t="s">
        <v>47</v>
      </c>
      <c r="I287" s="14" t="s">
        <v>48</v>
      </c>
      <c r="J287" s="13" t="s">
        <v>51</v>
      </c>
      <c r="K287" s="14" t="s">
        <v>14</v>
      </c>
      <c r="L287" s="15" t="s">
        <v>51</v>
      </c>
      <c r="M287" s="14" t="s">
        <v>14</v>
      </c>
    </row>
    <row r="288" spans="1:13" ht="15.75" x14ac:dyDescent="0.25">
      <c r="A288" s="8">
        <f>A273+L283</f>
        <v>0</v>
      </c>
      <c r="B288" s="8">
        <f>B273+M283</f>
        <v>0</v>
      </c>
      <c r="C288" s="8"/>
      <c r="D288" s="5">
        <v>5</v>
      </c>
      <c r="E288" s="16">
        <f>$A$288+$B$288*D288</f>
        <v>0</v>
      </c>
      <c r="F288" s="16">
        <f>E288</f>
        <v>0</v>
      </c>
      <c r="G288" s="17">
        <f>($C$3-E288)^2</f>
        <v>4.5796000000000001</v>
      </c>
      <c r="H288" s="18">
        <f>2*(E288-$C$3)</f>
        <v>-4.28</v>
      </c>
      <c r="I288" s="16">
        <f>EXP(E288)/(1 + EXP(E288))^2</f>
        <v>0.25</v>
      </c>
      <c r="J288" s="19">
        <v>1</v>
      </c>
      <c r="K288" s="16">
        <f>D288</f>
        <v>5</v>
      </c>
      <c r="L288" s="19">
        <f>-1*$C$14*H288*I288*J288</f>
        <v>0</v>
      </c>
      <c r="M288" s="16">
        <f>-1*$C$14*H288*I288*K288</f>
        <v>0</v>
      </c>
    </row>
    <row r="289" spans="1:13" ht="15.75" x14ac:dyDescent="0.25">
      <c r="A289" s="8"/>
      <c r="B289" s="8"/>
      <c r="C289" s="8"/>
      <c r="D289" s="5">
        <v>10</v>
      </c>
      <c r="E289" s="16">
        <f t="shared" ref="E289:E297" si="102">$A$288+$B$288*D289</f>
        <v>0</v>
      </c>
      <c r="F289" s="16">
        <f t="shared" ref="F289:F297" si="103">E289</f>
        <v>0</v>
      </c>
      <c r="G289" s="17">
        <f>($C$4-E289)^2</f>
        <v>11.424399999999999</v>
      </c>
      <c r="H289" s="18">
        <f>2*(E289-$C$4)</f>
        <v>-6.76</v>
      </c>
      <c r="I289" s="16">
        <f t="shared" ref="I289:I297" si="104">EXP(E289)/(1 + EXP(E289))^2</f>
        <v>0.25</v>
      </c>
      <c r="J289" s="19">
        <v>1</v>
      </c>
      <c r="K289" s="16">
        <f t="shared" ref="K289:K297" si="105">D289</f>
        <v>10</v>
      </c>
      <c r="L289" s="19">
        <f t="shared" ref="L289:L297" si="106">-1*$C$14*H289*I289*J289</f>
        <v>0</v>
      </c>
      <c r="M289" s="16">
        <f t="shared" ref="M289:M297" si="107">-1*$C$14*H289*I289*K289</f>
        <v>0</v>
      </c>
    </row>
    <row r="290" spans="1:13" ht="15.75" x14ac:dyDescent="0.25">
      <c r="A290" s="8"/>
      <c r="B290" s="8"/>
      <c r="C290" s="8"/>
      <c r="D290" s="5">
        <v>15</v>
      </c>
      <c r="E290" s="16">
        <f t="shared" si="102"/>
        <v>0</v>
      </c>
      <c r="F290" s="16">
        <f t="shared" si="103"/>
        <v>0</v>
      </c>
      <c r="G290" s="17">
        <f>($C$5-E290)^2</f>
        <v>14.8996</v>
      </c>
      <c r="H290" s="18">
        <f>2*(E290-$C$5)</f>
        <v>-7.72</v>
      </c>
      <c r="I290" s="16">
        <f t="shared" si="104"/>
        <v>0.25</v>
      </c>
      <c r="J290" s="19">
        <v>1</v>
      </c>
      <c r="K290" s="16">
        <f t="shared" si="105"/>
        <v>15</v>
      </c>
      <c r="L290" s="19">
        <f t="shared" si="106"/>
        <v>0</v>
      </c>
      <c r="M290" s="16">
        <f t="shared" si="107"/>
        <v>0</v>
      </c>
    </row>
    <row r="291" spans="1:13" ht="15.75" x14ac:dyDescent="0.25">
      <c r="A291" s="8"/>
      <c r="B291" s="8"/>
      <c r="C291" s="8"/>
      <c r="D291" s="5">
        <v>20</v>
      </c>
      <c r="E291" s="16">
        <f t="shared" si="102"/>
        <v>0</v>
      </c>
      <c r="F291" s="16">
        <f t="shared" si="103"/>
        <v>0</v>
      </c>
      <c r="G291" s="17">
        <f>($C$6-E291)^2</f>
        <v>20.976400000000002</v>
      </c>
      <c r="H291" s="18">
        <f>2*(E291-$C$6)</f>
        <v>-9.16</v>
      </c>
      <c r="I291" s="16">
        <f t="shared" si="104"/>
        <v>0.25</v>
      </c>
      <c r="J291" s="19">
        <v>1</v>
      </c>
      <c r="K291" s="16">
        <f t="shared" si="105"/>
        <v>20</v>
      </c>
      <c r="L291" s="19">
        <f t="shared" si="106"/>
        <v>0</v>
      </c>
      <c r="M291" s="16">
        <f t="shared" si="107"/>
        <v>0</v>
      </c>
    </row>
    <row r="292" spans="1:13" ht="15.75" x14ac:dyDescent="0.25">
      <c r="A292" s="8"/>
      <c r="B292" s="8"/>
      <c r="C292" s="8"/>
      <c r="D292" s="5">
        <v>25</v>
      </c>
      <c r="E292" s="16">
        <f t="shared" si="102"/>
        <v>0</v>
      </c>
      <c r="F292" s="16">
        <f t="shared" si="103"/>
        <v>0</v>
      </c>
      <c r="G292" s="17">
        <f>($C$7-E292)^2</f>
        <v>75.400277777777788</v>
      </c>
      <c r="H292" s="18">
        <f>2*(E292-$C$7)</f>
        <v>-17.366666666666667</v>
      </c>
      <c r="I292" s="16">
        <f t="shared" si="104"/>
        <v>0.25</v>
      </c>
      <c r="J292" s="19">
        <v>1</v>
      </c>
      <c r="K292" s="16">
        <f t="shared" si="105"/>
        <v>25</v>
      </c>
      <c r="L292" s="19">
        <f t="shared" si="106"/>
        <v>0</v>
      </c>
      <c r="M292" s="16">
        <f t="shared" si="107"/>
        <v>0</v>
      </c>
    </row>
    <row r="293" spans="1:13" ht="15.75" x14ac:dyDescent="0.25">
      <c r="A293" s="8"/>
      <c r="B293" s="8"/>
      <c r="C293" s="8"/>
      <c r="D293" s="5">
        <v>30</v>
      </c>
      <c r="E293" s="16">
        <f t="shared" si="102"/>
        <v>0</v>
      </c>
      <c r="F293" s="16">
        <f t="shared" si="103"/>
        <v>0</v>
      </c>
      <c r="G293" s="17">
        <f>($C$8-E293)^2</f>
        <v>80.281600000000012</v>
      </c>
      <c r="H293" s="18">
        <f>2*(E293-$C$8)</f>
        <v>-17.920000000000002</v>
      </c>
      <c r="I293" s="16">
        <f t="shared" si="104"/>
        <v>0.25</v>
      </c>
      <c r="J293" s="19">
        <v>1</v>
      </c>
      <c r="K293" s="16">
        <f t="shared" si="105"/>
        <v>30</v>
      </c>
      <c r="L293" s="19">
        <f t="shared" si="106"/>
        <v>0</v>
      </c>
      <c r="M293" s="16">
        <f t="shared" si="107"/>
        <v>0</v>
      </c>
    </row>
    <row r="294" spans="1:13" ht="15.75" x14ac:dyDescent="0.25">
      <c r="A294" s="8"/>
      <c r="B294" s="8"/>
      <c r="C294" s="8"/>
      <c r="D294" s="5">
        <v>35</v>
      </c>
      <c r="E294" s="16">
        <f t="shared" si="102"/>
        <v>0</v>
      </c>
      <c r="F294" s="16">
        <f t="shared" si="103"/>
        <v>0</v>
      </c>
      <c r="G294" s="17">
        <f>($C$9-E294)^2</f>
        <v>101.13654444444444</v>
      </c>
      <c r="H294" s="18">
        <f>2*(E294-$C$9)</f>
        <v>-20.113333333333333</v>
      </c>
      <c r="I294" s="16">
        <f t="shared" si="104"/>
        <v>0.25</v>
      </c>
      <c r="J294" s="19">
        <v>1</v>
      </c>
      <c r="K294" s="16">
        <f t="shared" si="105"/>
        <v>35</v>
      </c>
      <c r="L294" s="19">
        <f t="shared" si="106"/>
        <v>0</v>
      </c>
      <c r="M294" s="16">
        <f t="shared" si="107"/>
        <v>0</v>
      </c>
    </row>
    <row r="295" spans="1:13" ht="15.75" x14ac:dyDescent="0.25">
      <c r="A295" s="8"/>
      <c r="B295" s="8"/>
      <c r="C295" s="8"/>
      <c r="D295" s="5">
        <v>40</v>
      </c>
      <c r="E295" s="16">
        <f t="shared" si="102"/>
        <v>0</v>
      </c>
      <c r="F295" s="16">
        <f t="shared" si="103"/>
        <v>0</v>
      </c>
      <c r="G295" s="17">
        <f>($C$10-E295)^2</f>
        <v>168.82671111111114</v>
      </c>
      <c r="H295" s="18">
        <f>2*(E295-$C$10)</f>
        <v>-25.986666666666668</v>
      </c>
      <c r="I295" s="16">
        <f t="shared" si="104"/>
        <v>0.25</v>
      </c>
      <c r="J295" s="19">
        <v>1</v>
      </c>
      <c r="K295" s="16">
        <f t="shared" si="105"/>
        <v>40</v>
      </c>
      <c r="L295" s="19">
        <f t="shared" si="106"/>
        <v>0</v>
      </c>
      <c r="M295" s="16">
        <f t="shared" si="107"/>
        <v>0</v>
      </c>
    </row>
    <row r="296" spans="1:13" ht="15.75" x14ac:dyDescent="0.25">
      <c r="A296" s="8"/>
      <c r="B296" s="8"/>
      <c r="C296" s="8"/>
      <c r="D296" s="5">
        <v>45</v>
      </c>
      <c r="E296" s="16">
        <f t="shared" si="102"/>
        <v>0</v>
      </c>
      <c r="F296" s="16">
        <f t="shared" si="103"/>
        <v>0</v>
      </c>
      <c r="G296" s="17">
        <f>($C$11-E296)^2</f>
        <v>208.22490000000005</v>
      </c>
      <c r="H296" s="18">
        <f>2*(E296-$C$11)</f>
        <v>-28.860000000000003</v>
      </c>
      <c r="I296" s="16">
        <f t="shared" si="104"/>
        <v>0.25</v>
      </c>
      <c r="J296" s="19">
        <v>1</v>
      </c>
      <c r="K296" s="16">
        <f t="shared" si="105"/>
        <v>45</v>
      </c>
      <c r="L296" s="19">
        <f t="shared" si="106"/>
        <v>0</v>
      </c>
      <c r="M296" s="16">
        <f t="shared" si="107"/>
        <v>0</v>
      </c>
    </row>
    <row r="297" spans="1:13" ht="16.5" thickBot="1" x14ac:dyDescent="0.3">
      <c r="A297" s="20"/>
      <c r="B297" s="20"/>
      <c r="C297" s="3"/>
      <c r="D297" s="5">
        <v>50</v>
      </c>
      <c r="E297" s="16">
        <f t="shared" si="102"/>
        <v>0</v>
      </c>
      <c r="F297" s="16">
        <f t="shared" si="103"/>
        <v>0</v>
      </c>
      <c r="G297" s="17">
        <f>($C$12-E297)^2</f>
        <v>206.40111111111116</v>
      </c>
      <c r="H297" s="18">
        <f>2*(E297-$C$12)</f>
        <v>-28.733333333333338</v>
      </c>
      <c r="I297" s="16">
        <f t="shared" si="104"/>
        <v>0.25</v>
      </c>
      <c r="J297" s="19">
        <v>1</v>
      </c>
      <c r="K297" s="16">
        <f t="shared" si="105"/>
        <v>50</v>
      </c>
      <c r="L297" s="19">
        <f t="shared" si="106"/>
        <v>0</v>
      </c>
      <c r="M297" s="16">
        <f t="shared" si="107"/>
        <v>0</v>
      </c>
    </row>
    <row r="298" spans="1:13" ht="16.5" thickTop="1" x14ac:dyDescent="0.25">
      <c r="A298" s="3"/>
      <c r="B298" s="3"/>
      <c r="C298" s="3"/>
      <c r="D298" s="3"/>
      <c r="E298" s="3"/>
      <c r="F298" s="3"/>
      <c r="G298" s="21">
        <f>SUM(G288:G297)</f>
        <v>892.15114444444464</v>
      </c>
      <c r="H298" s="11"/>
      <c r="I298" s="3"/>
      <c r="J298" s="3"/>
      <c r="K298" s="3"/>
      <c r="L298" s="22">
        <f>AVERAGE(L288:L297)</f>
        <v>0</v>
      </c>
      <c r="M298" s="22">
        <f>AVERAGE(M288:M297)</f>
        <v>0</v>
      </c>
    </row>
    <row r="300" spans="1:13" x14ac:dyDescent="0.25">
      <c r="A300" s="30" t="s">
        <v>39</v>
      </c>
    </row>
    <row r="301" spans="1:13" ht="31.5" x14ac:dyDescent="0.25">
      <c r="A301" s="8" t="s">
        <v>5</v>
      </c>
      <c r="B301" s="9" t="s">
        <v>6</v>
      </c>
      <c r="C301" s="3"/>
      <c r="D301" s="8" t="s">
        <v>7</v>
      </c>
      <c r="E301" s="10" t="s">
        <v>8</v>
      </c>
      <c r="F301" s="8" t="s">
        <v>9</v>
      </c>
      <c r="G301" s="8" t="s">
        <v>4</v>
      </c>
      <c r="H301" s="11"/>
      <c r="I301" s="3"/>
      <c r="J301" s="23" t="s">
        <v>49</v>
      </c>
      <c r="K301" s="24"/>
      <c r="L301" s="25" t="s">
        <v>10</v>
      </c>
      <c r="M301" s="26"/>
    </row>
    <row r="302" spans="1:13" ht="15.75" x14ac:dyDescent="0.25">
      <c r="A302" s="12" t="s">
        <v>50</v>
      </c>
      <c r="B302" s="12" t="s">
        <v>11</v>
      </c>
      <c r="C302" s="12"/>
      <c r="D302" s="12" t="s">
        <v>12</v>
      </c>
      <c r="E302" s="12" t="s">
        <v>45</v>
      </c>
      <c r="F302" s="12" t="s">
        <v>46</v>
      </c>
      <c r="G302" s="12" t="s">
        <v>13</v>
      </c>
      <c r="H302" s="13" t="s">
        <v>47</v>
      </c>
      <c r="I302" s="14" t="s">
        <v>48</v>
      </c>
      <c r="J302" s="13" t="s">
        <v>51</v>
      </c>
      <c r="K302" s="14" t="s">
        <v>14</v>
      </c>
      <c r="L302" s="15" t="s">
        <v>51</v>
      </c>
      <c r="M302" s="14" t="s">
        <v>14</v>
      </c>
    </row>
    <row r="303" spans="1:13" ht="15.75" x14ac:dyDescent="0.25">
      <c r="A303" s="8">
        <f>A288+L298</f>
        <v>0</v>
      </c>
      <c r="B303" s="8">
        <f>B288+M298</f>
        <v>0</v>
      </c>
      <c r="C303" s="8"/>
      <c r="D303" s="5">
        <v>5</v>
      </c>
      <c r="E303" s="16">
        <f>$A$303+$B$303*D303</f>
        <v>0</v>
      </c>
      <c r="F303" s="16">
        <f>E303</f>
        <v>0</v>
      </c>
      <c r="G303" s="17">
        <f>($C$3-E303)^2</f>
        <v>4.5796000000000001</v>
      </c>
      <c r="H303" s="18">
        <f>2*(E303-$C$3)</f>
        <v>-4.28</v>
      </c>
      <c r="I303" s="16">
        <f>EXP(E303)/(1 + EXP(E303))^2</f>
        <v>0.25</v>
      </c>
      <c r="J303" s="19">
        <v>1</v>
      </c>
      <c r="K303" s="16">
        <f>D303</f>
        <v>5</v>
      </c>
      <c r="L303" s="19">
        <f>-1*$C$14*H303*I303*J303</f>
        <v>0</v>
      </c>
      <c r="M303" s="16">
        <f>-1*$C$14*H303*I303*K303</f>
        <v>0</v>
      </c>
    </row>
    <row r="304" spans="1:13" ht="15.75" x14ac:dyDescent="0.25">
      <c r="A304" s="8"/>
      <c r="B304" s="8"/>
      <c r="C304" s="8"/>
      <c r="D304" s="5">
        <v>10</v>
      </c>
      <c r="E304" s="16">
        <f t="shared" ref="E304:E312" si="108">$A$303+$B$303*D304</f>
        <v>0</v>
      </c>
      <c r="F304" s="16">
        <f t="shared" ref="F304:F312" si="109">E304</f>
        <v>0</v>
      </c>
      <c r="G304" s="17">
        <f>($C$4-E304)^2</f>
        <v>11.424399999999999</v>
      </c>
      <c r="H304" s="18">
        <f>2*(E304-$C$4)</f>
        <v>-6.76</v>
      </c>
      <c r="I304" s="16">
        <f t="shared" ref="I304:I312" si="110">EXP(E304)/(1 + EXP(E304))^2</f>
        <v>0.25</v>
      </c>
      <c r="J304" s="19">
        <v>1</v>
      </c>
      <c r="K304" s="16">
        <f t="shared" ref="K304:K312" si="111">D304</f>
        <v>10</v>
      </c>
      <c r="L304" s="19">
        <f t="shared" ref="L304:L312" si="112">-1*$C$14*H304*I304*J304</f>
        <v>0</v>
      </c>
      <c r="M304" s="16">
        <f t="shared" ref="M304:M312" si="113">-1*$C$14*H304*I304*K304</f>
        <v>0</v>
      </c>
    </row>
    <row r="305" spans="1:13" ht="15.75" x14ac:dyDescent="0.25">
      <c r="A305" s="8"/>
      <c r="B305" s="8"/>
      <c r="C305" s="8"/>
      <c r="D305" s="5">
        <v>15</v>
      </c>
      <c r="E305" s="16">
        <f t="shared" si="108"/>
        <v>0</v>
      </c>
      <c r="F305" s="16">
        <f t="shared" si="109"/>
        <v>0</v>
      </c>
      <c r="G305" s="17">
        <f>($C$5-E305)^2</f>
        <v>14.8996</v>
      </c>
      <c r="H305" s="18">
        <f>2*(E305-$C$5)</f>
        <v>-7.72</v>
      </c>
      <c r="I305" s="16">
        <f t="shared" si="110"/>
        <v>0.25</v>
      </c>
      <c r="J305" s="19">
        <v>1</v>
      </c>
      <c r="K305" s="16">
        <f t="shared" si="111"/>
        <v>15</v>
      </c>
      <c r="L305" s="19">
        <f t="shared" si="112"/>
        <v>0</v>
      </c>
      <c r="M305" s="16">
        <f t="shared" si="113"/>
        <v>0</v>
      </c>
    </row>
    <row r="306" spans="1:13" ht="15.75" x14ac:dyDescent="0.25">
      <c r="A306" s="8"/>
      <c r="B306" s="8"/>
      <c r="C306" s="8"/>
      <c r="D306" s="5">
        <v>20</v>
      </c>
      <c r="E306" s="16">
        <f t="shared" si="108"/>
        <v>0</v>
      </c>
      <c r="F306" s="16">
        <f t="shared" si="109"/>
        <v>0</v>
      </c>
      <c r="G306" s="17">
        <f>($C$6-E306)^2</f>
        <v>20.976400000000002</v>
      </c>
      <c r="H306" s="18">
        <f>2*(E306-$C$6)</f>
        <v>-9.16</v>
      </c>
      <c r="I306" s="16">
        <f t="shared" si="110"/>
        <v>0.25</v>
      </c>
      <c r="J306" s="19">
        <v>1</v>
      </c>
      <c r="K306" s="16">
        <f t="shared" si="111"/>
        <v>20</v>
      </c>
      <c r="L306" s="19">
        <f t="shared" si="112"/>
        <v>0</v>
      </c>
      <c r="M306" s="16">
        <f t="shared" si="113"/>
        <v>0</v>
      </c>
    </row>
    <row r="307" spans="1:13" ht="15.75" x14ac:dyDescent="0.25">
      <c r="A307" s="8"/>
      <c r="B307" s="8"/>
      <c r="C307" s="8"/>
      <c r="D307" s="5">
        <v>25</v>
      </c>
      <c r="E307" s="16">
        <f t="shared" si="108"/>
        <v>0</v>
      </c>
      <c r="F307" s="16">
        <f t="shared" si="109"/>
        <v>0</v>
      </c>
      <c r="G307" s="17">
        <f>($C$7-E307)^2</f>
        <v>75.400277777777788</v>
      </c>
      <c r="H307" s="18">
        <f>2*(E307-$C$7)</f>
        <v>-17.366666666666667</v>
      </c>
      <c r="I307" s="16">
        <f t="shared" si="110"/>
        <v>0.25</v>
      </c>
      <c r="J307" s="19">
        <v>1</v>
      </c>
      <c r="K307" s="16">
        <f t="shared" si="111"/>
        <v>25</v>
      </c>
      <c r="L307" s="19">
        <f t="shared" si="112"/>
        <v>0</v>
      </c>
      <c r="M307" s="16">
        <f t="shared" si="113"/>
        <v>0</v>
      </c>
    </row>
    <row r="308" spans="1:13" ht="15.75" x14ac:dyDescent="0.25">
      <c r="A308" s="8"/>
      <c r="B308" s="8"/>
      <c r="C308" s="8"/>
      <c r="D308" s="5">
        <v>30</v>
      </c>
      <c r="E308" s="16">
        <f t="shared" si="108"/>
        <v>0</v>
      </c>
      <c r="F308" s="16">
        <f t="shared" si="109"/>
        <v>0</v>
      </c>
      <c r="G308" s="17">
        <f>($C$8-E308)^2</f>
        <v>80.281600000000012</v>
      </c>
      <c r="H308" s="18">
        <f>2*(E308-$C$8)</f>
        <v>-17.920000000000002</v>
      </c>
      <c r="I308" s="16">
        <f t="shared" si="110"/>
        <v>0.25</v>
      </c>
      <c r="J308" s="19">
        <v>1</v>
      </c>
      <c r="K308" s="16">
        <f t="shared" si="111"/>
        <v>30</v>
      </c>
      <c r="L308" s="19">
        <f t="shared" si="112"/>
        <v>0</v>
      </c>
      <c r="M308" s="16">
        <f t="shared" si="113"/>
        <v>0</v>
      </c>
    </row>
    <row r="309" spans="1:13" ht="15.75" x14ac:dyDescent="0.25">
      <c r="A309" s="8"/>
      <c r="B309" s="8"/>
      <c r="C309" s="8"/>
      <c r="D309" s="5">
        <v>35</v>
      </c>
      <c r="E309" s="16">
        <f t="shared" si="108"/>
        <v>0</v>
      </c>
      <c r="F309" s="16">
        <f t="shared" si="109"/>
        <v>0</v>
      </c>
      <c r="G309" s="17">
        <f>($C$9-E309)^2</f>
        <v>101.13654444444444</v>
      </c>
      <c r="H309" s="18">
        <f>2*(E309-$C$9)</f>
        <v>-20.113333333333333</v>
      </c>
      <c r="I309" s="16">
        <f t="shared" si="110"/>
        <v>0.25</v>
      </c>
      <c r="J309" s="19">
        <v>1</v>
      </c>
      <c r="K309" s="16">
        <f t="shared" si="111"/>
        <v>35</v>
      </c>
      <c r="L309" s="19">
        <f t="shared" si="112"/>
        <v>0</v>
      </c>
      <c r="M309" s="16">
        <f t="shared" si="113"/>
        <v>0</v>
      </c>
    </row>
    <row r="310" spans="1:13" ht="15.75" x14ac:dyDescent="0.25">
      <c r="A310" s="8"/>
      <c r="B310" s="8"/>
      <c r="C310" s="8"/>
      <c r="D310" s="5">
        <v>40</v>
      </c>
      <c r="E310" s="16">
        <f t="shared" si="108"/>
        <v>0</v>
      </c>
      <c r="F310" s="16">
        <f t="shared" si="109"/>
        <v>0</v>
      </c>
      <c r="G310" s="17">
        <f>($C$10-E310)^2</f>
        <v>168.82671111111114</v>
      </c>
      <c r="H310" s="18">
        <f>2*(E310-$C$10)</f>
        <v>-25.986666666666668</v>
      </c>
      <c r="I310" s="16">
        <f t="shared" si="110"/>
        <v>0.25</v>
      </c>
      <c r="J310" s="19">
        <v>1</v>
      </c>
      <c r="K310" s="16">
        <f t="shared" si="111"/>
        <v>40</v>
      </c>
      <c r="L310" s="19">
        <f t="shared" si="112"/>
        <v>0</v>
      </c>
      <c r="M310" s="16">
        <f t="shared" si="113"/>
        <v>0</v>
      </c>
    </row>
    <row r="311" spans="1:13" ht="15.75" x14ac:dyDescent="0.25">
      <c r="A311" s="8"/>
      <c r="B311" s="8"/>
      <c r="C311" s="8"/>
      <c r="D311" s="5">
        <v>45</v>
      </c>
      <c r="E311" s="16">
        <f t="shared" si="108"/>
        <v>0</v>
      </c>
      <c r="F311" s="16">
        <f t="shared" si="109"/>
        <v>0</v>
      </c>
      <c r="G311" s="17">
        <f>($C$11-E311)^2</f>
        <v>208.22490000000005</v>
      </c>
      <c r="H311" s="18">
        <f>2*(E311-$C$11)</f>
        <v>-28.860000000000003</v>
      </c>
      <c r="I311" s="16">
        <f t="shared" si="110"/>
        <v>0.25</v>
      </c>
      <c r="J311" s="19">
        <v>1</v>
      </c>
      <c r="K311" s="16">
        <f t="shared" si="111"/>
        <v>45</v>
      </c>
      <c r="L311" s="19">
        <f t="shared" si="112"/>
        <v>0</v>
      </c>
      <c r="M311" s="16">
        <f t="shared" si="113"/>
        <v>0</v>
      </c>
    </row>
    <row r="312" spans="1:13" ht="16.5" thickBot="1" x14ac:dyDescent="0.3">
      <c r="A312" s="20"/>
      <c r="B312" s="20"/>
      <c r="C312" s="3"/>
      <c r="D312" s="5">
        <v>50</v>
      </c>
      <c r="E312" s="16">
        <f t="shared" si="108"/>
        <v>0</v>
      </c>
      <c r="F312" s="16">
        <f t="shared" si="109"/>
        <v>0</v>
      </c>
      <c r="G312" s="17">
        <f>($C$12-E312)^2</f>
        <v>206.40111111111116</v>
      </c>
      <c r="H312" s="18">
        <f>2*(E312-$C$12)</f>
        <v>-28.733333333333338</v>
      </c>
      <c r="I312" s="16">
        <f t="shared" si="110"/>
        <v>0.25</v>
      </c>
      <c r="J312" s="19">
        <v>1</v>
      </c>
      <c r="K312" s="16">
        <f t="shared" si="111"/>
        <v>50</v>
      </c>
      <c r="L312" s="19">
        <f t="shared" si="112"/>
        <v>0</v>
      </c>
      <c r="M312" s="16">
        <f t="shared" si="113"/>
        <v>0</v>
      </c>
    </row>
    <row r="313" spans="1:13" ht="16.5" thickTop="1" x14ac:dyDescent="0.25">
      <c r="A313" s="3"/>
      <c r="B313" s="3"/>
      <c r="C313" s="3"/>
      <c r="D313" s="3"/>
      <c r="E313" s="3"/>
      <c r="F313" s="3"/>
      <c r="G313" s="21">
        <f>SUM(G303:G312)</f>
        <v>892.15114444444464</v>
      </c>
      <c r="H313" s="11"/>
      <c r="I313" s="3"/>
      <c r="J313" s="3"/>
      <c r="K313" s="3"/>
      <c r="L313" s="22">
        <f>AVERAGE(L303:L312)</f>
        <v>0</v>
      </c>
      <c r="M313" s="22">
        <f>AVERAGE(M303:M312)</f>
        <v>0</v>
      </c>
    </row>
    <row r="315" spans="1:13" x14ac:dyDescent="0.25">
      <c r="A315" s="30" t="s">
        <v>40</v>
      </c>
    </row>
    <row r="316" spans="1:13" ht="31.5" x14ac:dyDescent="0.25">
      <c r="A316" s="8" t="s">
        <v>5</v>
      </c>
      <c r="B316" s="9" t="s">
        <v>6</v>
      </c>
      <c r="C316" s="3"/>
      <c r="D316" s="8" t="s">
        <v>7</v>
      </c>
      <c r="E316" s="10" t="s">
        <v>8</v>
      </c>
      <c r="F316" s="8" t="s">
        <v>9</v>
      </c>
      <c r="G316" s="8" t="s">
        <v>4</v>
      </c>
      <c r="H316" s="11"/>
      <c r="I316" s="3"/>
      <c r="J316" s="23" t="s">
        <v>49</v>
      </c>
      <c r="K316" s="24"/>
      <c r="L316" s="25" t="s">
        <v>10</v>
      </c>
      <c r="M316" s="26"/>
    </row>
    <row r="317" spans="1:13" ht="15.75" x14ac:dyDescent="0.25">
      <c r="A317" s="12" t="s">
        <v>50</v>
      </c>
      <c r="B317" s="12" t="s">
        <v>11</v>
      </c>
      <c r="C317" s="12"/>
      <c r="D317" s="12" t="s">
        <v>12</v>
      </c>
      <c r="E317" s="12" t="s">
        <v>45</v>
      </c>
      <c r="F317" s="12" t="s">
        <v>46</v>
      </c>
      <c r="G317" s="12" t="s">
        <v>13</v>
      </c>
      <c r="H317" s="13" t="s">
        <v>47</v>
      </c>
      <c r="I317" s="14" t="s">
        <v>48</v>
      </c>
      <c r="J317" s="13" t="s">
        <v>51</v>
      </c>
      <c r="K317" s="14" t="s">
        <v>14</v>
      </c>
      <c r="L317" s="15" t="s">
        <v>51</v>
      </c>
      <c r="M317" s="14" t="s">
        <v>14</v>
      </c>
    </row>
    <row r="318" spans="1:13" ht="15.75" x14ac:dyDescent="0.25">
      <c r="A318" s="8">
        <f>A303+L313</f>
        <v>0</v>
      </c>
      <c r="B318" s="8">
        <f>B303+M313</f>
        <v>0</v>
      </c>
      <c r="C318" s="8"/>
      <c r="D318" s="5">
        <v>5</v>
      </c>
      <c r="E318" s="16">
        <f>$A$318+$B$318*D318</f>
        <v>0</v>
      </c>
      <c r="F318" s="16">
        <f>E318</f>
        <v>0</v>
      </c>
      <c r="G318" s="17">
        <f>($C$3-E318)^2</f>
        <v>4.5796000000000001</v>
      </c>
      <c r="H318" s="18">
        <f>2*(E318-$C$3)</f>
        <v>-4.28</v>
      </c>
      <c r="I318" s="16">
        <f>EXP(E318)/(1 + EXP(E318))^2</f>
        <v>0.25</v>
      </c>
      <c r="J318" s="19">
        <v>1</v>
      </c>
      <c r="K318" s="16">
        <f>D318</f>
        <v>5</v>
      </c>
      <c r="L318" s="19">
        <f>-1*$C$14*H318*I318*J318</f>
        <v>0</v>
      </c>
      <c r="M318" s="16">
        <f>-1*$C$14*H318*I318*K318</f>
        <v>0</v>
      </c>
    </row>
    <row r="319" spans="1:13" ht="15.75" x14ac:dyDescent="0.25">
      <c r="A319" s="8"/>
      <c r="B319" s="8"/>
      <c r="C319" s="8"/>
      <c r="D319" s="5">
        <v>10</v>
      </c>
      <c r="E319" s="16">
        <f t="shared" ref="E319:E327" si="114">$A$318+$B$318*D319</f>
        <v>0</v>
      </c>
      <c r="F319" s="16">
        <f t="shared" ref="F319:F327" si="115">E319</f>
        <v>0</v>
      </c>
      <c r="G319" s="17">
        <f>($C$4-E319)^2</f>
        <v>11.424399999999999</v>
      </c>
      <c r="H319" s="18">
        <f>2*(E319-$C$4)</f>
        <v>-6.76</v>
      </c>
      <c r="I319" s="16">
        <f t="shared" ref="I319:I327" si="116">EXP(E319)/(1 + EXP(E319))^2</f>
        <v>0.25</v>
      </c>
      <c r="J319" s="19">
        <v>1</v>
      </c>
      <c r="K319" s="16">
        <f t="shared" ref="K319:K327" si="117">D319</f>
        <v>10</v>
      </c>
      <c r="L319" s="19">
        <f t="shared" ref="L319:L327" si="118">-1*$C$14*H319*I319*J319</f>
        <v>0</v>
      </c>
      <c r="M319" s="16">
        <f t="shared" ref="M319:M327" si="119">-1*$C$14*H319*I319*K319</f>
        <v>0</v>
      </c>
    </row>
    <row r="320" spans="1:13" ht="15.75" x14ac:dyDescent="0.25">
      <c r="A320" s="8"/>
      <c r="B320" s="8"/>
      <c r="C320" s="8"/>
      <c r="D320" s="5">
        <v>15</v>
      </c>
      <c r="E320" s="16">
        <f t="shared" si="114"/>
        <v>0</v>
      </c>
      <c r="F320" s="16">
        <f t="shared" si="115"/>
        <v>0</v>
      </c>
      <c r="G320" s="17">
        <f>($C$5-E320)^2</f>
        <v>14.8996</v>
      </c>
      <c r="H320" s="18">
        <f>2*(E320-$C$5)</f>
        <v>-7.72</v>
      </c>
      <c r="I320" s="16">
        <f t="shared" si="116"/>
        <v>0.25</v>
      </c>
      <c r="J320" s="19">
        <v>1</v>
      </c>
      <c r="K320" s="16">
        <f t="shared" si="117"/>
        <v>15</v>
      </c>
      <c r="L320" s="19">
        <f t="shared" si="118"/>
        <v>0</v>
      </c>
      <c r="M320" s="16">
        <f t="shared" si="119"/>
        <v>0</v>
      </c>
    </row>
    <row r="321" spans="1:13" ht="15.75" x14ac:dyDescent="0.25">
      <c r="A321" s="8"/>
      <c r="B321" s="8"/>
      <c r="C321" s="8"/>
      <c r="D321" s="5">
        <v>20</v>
      </c>
      <c r="E321" s="16">
        <f t="shared" si="114"/>
        <v>0</v>
      </c>
      <c r="F321" s="16">
        <f t="shared" si="115"/>
        <v>0</v>
      </c>
      <c r="G321" s="17">
        <f>($C$6-E321)^2</f>
        <v>20.976400000000002</v>
      </c>
      <c r="H321" s="18">
        <f>2*(E321-$C$6)</f>
        <v>-9.16</v>
      </c>
      <c r="I321" s="16">
        <f t="shared" si="116"/>
        <v>0.25</v>
      </c>
      <c r="J321" s="19">
        <v>1</v>
      </c>
      <c r="K321" s="16">
        <f t="shared" si="117"/>
        <v>20</v>
      </c>
      <c r="L321" s="19">
        <f t="shared" si="118"/>
        <v>0</v>
      </c>
      <c r="M321" s="16">
        <f t="shared" si="119"/>
        <v>0</v>
      </c>
    </row>
    <row r="322" spans="1:13" ht="15.75" x14ac:dyDescent="0.25">
      <c r="A322" s="8"/>
      <c r="B322" s="8"/>
      <c r="C322" s="8"/>
      <c r="D322" s="5">
        <v>25</v>
      </c>
      <c r="E322" s="16">
        <f t="shared" si="114"/>
        <v>0</v>
      </c>
      <c r="F322" s="16">
        <f t="shared" si="115"/>
        <v>0</v>
      </c>
      <c r="G322" s="17">
        <f>($C$7-E322)^2</f>
        <v>75.400277777777788</v>
      </c>
      <c r="H322" s="18">
        <f>2*(E322-$C$7)</f>
        <v>-17.366666666666667</v>
      </c>
      <c r="I322" s="16">
        <f t="shared" si="116"/>
        <v>0.25</v>
      </c>
      <c r="J322" s="19">
        <v>1</v>
      </c>
      <c r="K322" s="16">
        <f t="shared" si="117"/>
        <v>25</v>
      </c>
      <c r="L322" s="19">
        <f t="shared" si="118"/>
        <v>0</v>
      </c>
      <c r="M322" s="16">
        <f t="shared" si="119"/>
        <v>0</v>
      </c>
    </row>
    <row r="323" spans="1:13" ht="15.75" x14ac:dyDescent="0.25">
      <c r="A323" s="8"/>
      <c r="B323" s="8"/>
      <c r="C323" s="8"/>
      <c r="D323" s="5">
        <v>30</v>
      </c>
      <c r="E323" s="16">
        <f t="shared" si="114"/>
        <v>0</v>
      </c>
      <c r="F323" s="16">
        <f t="shared" si="115"/>
        <v>0</v>
      </c>
      <c r="G323" s="17">
        <f>($C$8-E323)^2</f>
        <v>80.281600000000012</v>
      </c>
      <c r="H323" s="18">
        <f>2*(E323-$C$8)</f>
        <v>-17.920000000000002</v>
      </c>
      <c r="I323" s="16">
        <f t="shared" si="116"/>
        <v>0.25</v>
      </c>
      <c r="J323" s="19">
        <v>1</v>
      </c>
      <c r="K323" s="16">
        <f t="shared" si="117"/>
        <v>30</v>
      </c>
      <c r="L323" s="19">
        <f t="shared" si="118"/>
        <v>0</v>
      </c>
      <c r="M323" s="16">
        <f t="shared" si="119"/>
        <v>0</v>
      </c>
    </row>
    <row r="324" spans="1:13" ht="15.75" x14ac:dyDescent="0.25">
      <c r="A324" s="8"/>
      <c r="B324" s="8"/>
      <c r="C324" s="8"/>
      <c r="D324" s="5">
        <v>35</v>
      </c>
      <c r="E324" s="16">
        <f t="shared" si="114"/>
        <v>0</v>
      </c>
      <c r="F324" s="16">
        <f t="shared" si="115"/>
        <v>0</v>
      </c>
      <c r="G324" s="17">
        <f>($C$9-E324)^2</f>
        <v>101.13654444444444</v>
      </c>
      <c r="H324" s="18">
        <f>2*(E324-$C$9)</f>
        <v>-20.113333333333333</v>
      </c>
      <c r="I324" s="16">
        <f t="shared" si="116"/>
        <v>0.25</v>
      </c>
      <c r="J324" s="19">
        <v>1</v>
      </c>
      <c r="K324" s="16">
        <f t="shared" si="117"/>
        <v>35</v>
      </c>
      <c r="L324" s="19">
        <f t="shared" si="118"/>
        <v>0</v>
      </c>
      <c r="M324" s="16">
        <f t="shared" si="119"/>
        <v>0</v>
      </c>
    </row>
    <row r="325" spans="1:13" ht="15.75" x14ac:dyDescent="0.25">
      <c r="A325" s="8"/>
      <c r="B325" s="8"/>
      <c r="C325" s="8"/>
      <c r="D325" s="5">
        <v>40</v>
      </c>
      <c r="E325" s="16">
        <f t="shared" si="114"/>
        <v>0</v>
      </c>
      <c r="F325" s="16">
        <f t="shared" si="115"/>
        <v>0</v>
      </c>
      <c r="G325" s="17">
        <f>($C$10-E325)^2</f>
        <v>168.82671111111114</v>
      </c>
      <c r="H325" s="18">
        <f>2*(E325-$C$10)</f>
        <v>-25.986666666666668</v>
      </c>
      <c r="I325" s="16">
        <f t="shared" si="116"/>
        <v>0.25</v>
      </c>
      <c r="J325" s="19">
        <v>1</v>
      </c>
      <c r="K325" s="16">
        <f t="shared" si="117"/>
        <v>40</v>
      </c>
      <c r="L325" s="19">
        <f t="shared" si="118"/>
        <v>0</v>
      </c>
      <c r="M325" s="16">
        <f t="shared" si="119"/>
        <v>0</v>
      </c>
    </row>
    <row r="326" spans="1:13" ht="15.75" x14ac:dyDescent="0.25">
      <c r="A326" s="8"/>
      <c r="B326" s="8"/>
      <c r="C326" s="8"/>
      <c r="D326" s="5">
        <v>45</v>
      </c>
      <c r="E326" s="16">
        <f t="shared" si="114"/>
        <v>0</v>
      </c>
      <c r="F326" s="16">
        <f t="shared" si="115"/>
        <v>0</v>
      </c>
      <c r="G326" s="17">
        <f>($C$11-E326)^2</f>
        <v>208.22490000000005</v>
      </c>
      <c r="H326" s="18">
        <f>2*(E326-$C$11)</f>
        <v>-28.860000000000003</v>
      </c>
      <c r="I326" s="16">
        <f t="shared" si="116"/>
        <v>0.25</v>
      </c>
      <c r="J326" s="19">
        <v>1</v>
      </c>
      <c r="K326" s="16">
        <f t="shared" si="117"/>
        <v>45</v>
      </c>
      <c r="L326" s="19">
        <f t="shared" si="118"/>
        <v>0</v>
      </c>
      <c r="M326" s="16">
        <f t="shared" si="119"/>
        <v>0</v>
      </c>
    </row>
    <row r="327" spans="1:13" ht="16.5" thickBot="1" x14ac:dyDescent="0.3">
      <c r="A327" s="20"/>
      <c r="B327" s="20"/>
      <c r="C327" s="3"/>
      <c r="D327" s="5">
        <v>50</v>
      </c>
      <c r="E327" s="16">
        <f t="shared" si="114"/>
        <v>0</v>
      </c>
      <c r="F327" s="16">
        <f t="shared" si="115"/>
        <v>0</v>
      </c>
      <c r="G327" s="17">
        <f>($C$12-E327)^2</f>
        <v>206.40111111111116</v>
      </c>
      <c r="H327" s="18">
        <f>2*(E327-$C$12)</f>
        <v>-28.733333333333338</v>
      </c>
      <c r="I327" s="16">
        <f t="shared" si="116"/>
        <v>0.25</v>
      </c>
      <c r="J327" s="19">
        <v>1</v>
      </c>
      <c r="K327" s="16">
        <f t="shared" si="117"/>
        <v>50</v>
      </c>
      <c r="L327" s="19">
        <f t="shared" si="118"/>
        <v>0</v>
      </c>
      <c r="M327" s="16">
        <f t="shared" si="119"/>
        <v>0</v>
      </c>
    </row>
    <row r="328" spans="1:13" ht="16.5" thickTop="1" x14ac:dyDescent="0.25">
      <c r="A328" s="3"/>
      <c r="B328" s="3"/>
      <c r="C328" s="3"/>
      <c r="D328" s="3"/>
      <c r="E328" s="3"/>
      <c r="F328" s="3"/>
      <c r="G328" s="21">
        <f>SUM(G318:G327)</f>
        <v>892.15114444444464</v>
      </c>
      <c r="H328" s="11"/>
      <c r="I328" s="3"/>
      <c r="J328" s="3"/>
      <c r="K328" s="3"/>
      <c r="L328" s="22">
        <f>AVERAGE(L318:L327)</f>
        <v>0</v>
      </c>
      <c r="M328" s="22">
        <f>AVERAGE(M318:M327)</f>
        <v>0</v>
      </c>
    </row>
    <row r="330" spans="1:13" x14ac:dyDescent="0.25">
      <c r="A330" s="30" t="s">
        <v>41</v>
      </c>
    </row>
    <row r="331" spans="1:13" ht="31.5" x14ac:dyDescent="0.25">
      <c r="A331" s="8" t="s">
        <v>5</v>
      </c>
      <c r="B331" s="9" t="s">
        <v>6</v>
      </c>
      <c r="C331" s="3"/>
      <c r="D331" s="8" t="s">
        <v>7</v>
      </c>
      <c r="E331" s="10" t="s">
        <v>8</v>
      </c>
      <c r="F331" s="8" t="s">
        <v>9</v>
      </c>
      <c r="G331" s="8" t="s">
        <v>4</v>
      </c>
      <c r="H331" s="11"/>
      <c r="I331" s="3"/>
      <c r="J331" s="23" t="s">
        <v>49</v>
      </c>
      <c r="K331" s="24"/>
      <c r="L331" s="25" t="s">
        <v>10</v>
      </c>
      <c r="M331" s="26"/>
    </row>
    <row r="332" spans="1:13" ht="15.75" x14ac:dyDescent="0.25">
      <c r="A332" s="12" t="s">
        <v>50</v>
      </c>
      <c r="B332" s="12" t="s">
        <v>11</v>
      </c>
      <c r="C332" s="12"/>
      <c r="D332" s="12" t="s">
        <v>12</v>
      </c>
      <c r="E332" s="12" t="s">
        <v>45</v>
      </c>
      <c r="F332" s="12" t="s">
        <v>46</v>
      </c>
      <c r="G332" s="12" t="s">
        <v>13</v>
      </c>
      <c r="H332" s="13" t="s">
        <v>47</v>
      </c>
      <c r="I332" s="14" t="s">
        <v>48</v>
      </c>
      <c r="J332" s="13" t="s">
        <v>51</v>
      </c>
      <c r="K332" s="14" t="s">
        <v>14</v>
      </c>
      <c r="L332" s="15" t="s">
        <v>51</v>
      </c>
      <c r="M332" s="14" t="s">
        <v>14</v>
      </c>
    </row>
    <row r="333" spans="1:13" ht="15.75" x14ac:dyDescent="0.25">
      <c r="A333" s="8">
        <f>A318+L328</f>
        <v>0</v>
      </c>
      <c r="B333" s="8">
        <f>B318+M328</f>
        <v>0</v>
      </c>
      <c r="C333" s="8"/>
      <c r="D333" s="5">
        <v>5</v>
      </c>
      <c r="E333" s="16">
        <f>$A$333+$B$333*D333</f>
        <v>0</v>
      </c>
      <c r="F333" s="16">
        <f>E333</f>
        <v>0</v>
      </c>
      <c r="G333" s="17">
        <f>($C$3-E333)^2</f>
        <v>4.5796000000000001</v>
      </c>
      <c r="H333" s="18">
        <f>2*(E333-$C$3)</f>
        <v>-4.28</v>
      </c>
      <c r="I333" s="16">
        <f>EXP(E333)/(1 + EXP(E333))^2</f>
        <v>0.25</v>
      </c>
      <c r="J333" s="19">
        <v>1</v>
      </c>
      <c r="K333" s="16">
        <f>D333</f>
        <v>5</v>
      </c>
      <c r="L333" s="19">
        <f>-1*$C$14*H333*I333*J333</f>
        <v>0</v>
      </c>
      <c r="M333" s="16">
        <f>-1*$C$14*H333*I333*K333</f>
        <v>0</v>
      </c>
    </row>
    <row r="334" spans="1:13" ht="15.75" x14ac:dyDescent="0.25">
      <c r="A334" s="8"/>
      <c r="B334" s="8"/>
      <c r="C334" s="8"/>
      <c r="D334" s="5">
        <v>10</v>
      </c>
      <c r="E334" s="16">
        <f t="shared" ref="E334:E342" si="120">$A$333+$B$333*D334</f>
        <v>0</v>
      </c>
      <c r="F334" s="16">
        <f t="shared" ref="F334:F342" si="121">E334</f>
        <v>0</v>
      </c>
      <c r="G334" s="17">
        <f>($C$4-E334)^2</f>
        <v>11.424399999999999</v>
      </c>
      <c r="H334" s="18">
        <f>2*(E334-$C$4)</f>
        <v>-6.76</v>
      </c>
      <c r="I334" s="16">
        <f t="shared" ref="I334:I342" si="122">EXP(E334)/(1 + EXP(E334))^2</f>
        <v>0.25</v>
      </c>
      <c r="J334" s="19">
        <v>1</v>
      </c>
      <c r="K334" s="16">
        <f t="shared" ref="K334:K342" si="123">D334</f>
        <v>10</v>
      </c>
      <c r="L334" s="19">
        <f t="shared" ref="L334:L342" si="124">-1*$C$14*H334*I334*J334</f>
        <v>0</v>
      </c>
      <c r="M334" s="16">
        <f t="shared" ref="M334:M342" si="125">-1*$C$14*H334*I334*K334</f>
        <v>0</v>
      </c>
    </row>
    <row r="335" spans="1:13" ht="15.75" x14ac:dyDescent="0.25">
      <c r="A335" s="8"/>
      <c r="B335" s="8"/>
      <c r="C335" s="8"/>
      <c r="D335" s="5">
        <v>15</v>
      </c>
      <c r="E335" s="16">
        <f t="shared" si="120"/>
        <v>0</v>
      </c>
      <c r="F335" s="16">
        <f t="shared" si="121"/>
        <v>0</v>
      </c>
      <c r="G335" s="17">
        <f>($C$5-E335)^2</f>
        <v>14.8996</v>
      </c>
      <c r="H335" s="18">
        <f>2*(E335-$C$5)</f>
        <v>-7.72</v>
      </c>
      <c r="I335" s="16">
        <f t="shared" si="122"/>
        <v>0.25</v>
      </c>
      <c r="J335" s="19">
        <v>1</v>
      </c>
      <c r="K335" s="16">
        <f t="shared" si="123"/>
        <v>15</v>
      </c>
      <c r="L335" s="19">
        <f t="shared" si="124"/>
        <v>0</v>
      </c>
      <c r="M335" s="16">
        <f t="shared" si="125"/>
        <v>0</v>
      </c>
    </row>
    <row r="336" spans="1:13" ht="15.75" x14ac:dyDescent="0.25">
      <c r="A336" s="8"/>
      <c r="B336" s="8"/>
      <c r="C336" s="8"/>
      <c r="D336" s="5">
        <v>20</v>
      </c>
      <c r="E336" s="16">
        <f t="shared" si="120"/>
        <v>0</v>
      </c>
      <c r="F336" s="16">
        <f t="shared" si="121"/>
        <v>0</v>
      </c>
      <c r="G336" s="17">
        <f>($C$6-E336)^2</f>
        <v>20.976400000000002</v>
      </c>
      <c r="H336" s="18">
        <f>2*(E336-$C$6)</f>
        <v>-9.16</v>
      </c>
      <c r="I336" s="16">
        <f t="shared" si="122"/>
        <v>0.25</v>
      </c>
      <c r="J336" s="19">
        <v>1</v>
      </c>
      <c r="K336" s="16">
        <f t="shared" si="123"/>
        <v>20</v>
      </c>
      <c r="L336" s="19">
        <f t="shared" si="124"/>
        <v>0</v>
      </c>
      <c r="M336" s="16">
        <f t="shared" si="125"/>
        <v>0</v>
      </c>
    </row>
    <row r="337" spans="1:13" ht="15.75" x14ac:dyDescent="0.25">
      <c r="A337" s="8"/>
      <c r="B337" s="8"/>
      <c r="C337" s="8"/>
      <c r="D337" s="5">
        <v>25</v>
      </c>
      <c r="E337" s="16">
        <f t="shared" si="120"/>
        <v>0</v>
      </c>
      <c r="F337" s="16">
        <f t="shared" si="121"/>
        <v>0</v>
      </c>
      <c r="G337" s="17">
        <f>($C$7-E337)^2</f>
        <v>75.400277777777788</v>
      </c>
      <c r="H337" s="18">
        <f>2*(E337-$C$7)</f>
        <v>-17.366666666666667</v>
      </c>
      <c r="I337" s="16">
        <f t="shared" si="122"/>
        <v>0.25</v>
      </c>
      <c r="J337" s="19">
        <v>1</v>
      </c>
      <c r="K337" s="16">
        <f t="shared" si="123"/>
        <v>25</v>
      </c>
      <c r="L337" s="19">
        <f t="shared" si="124"/>
        <v>0</v>
      </c>
      <c r="M337" s="16">
        <f t="shared" si="125"/>
        <v>0</v>
      </c>
    </row>
    <row r="338" spans="1:13" ht="15.75" x14ac:dyDescent="0.25">
      <c r="A338" s="8"/>
      <c r="B338" s="8"/>
      <c r="C338" s="8"/>
      <c r="D338" s="5">
        <v>30</v>
      </c>
      <c r="E338" s="16">
        <f t="shared" si="120"/>
        <v>0</v>
      </c>
      <c r="F338" s="16">
        <f t="shared" si="121"/>
        <v>0</v>
      </c>
      <c r="G338" s="17">
        <f>($C$8-E338)^2</f>
        <v>80.281600000000012</v>
      </c>
      <c r="H338" s="18">
        <f>2*(E338-$C$8)</f>
        <v>-17.920000000000002</v>
      </c>
      <c r="I338" s="16">
        <f t="shared" si="122"/>
        <v>0.25</v>
      </c>
      <c r="J338" s="19">
        <v>1</v>
      </c>
      <c r="K338" s="16">
        <f t="shared" si="123"/>
        <v>30</v>
      </c>
      <c r="L338" s="19">
        <f t="shared" si="124"/>
        <v>0</v>
      </c>
      <c r="M338" s="16">
        <f t="shared" si="125"/>
        <v>0</v>
      </c>
    </row>
    <row r="339" spans="1:13" ht="15.75" x14ac:dyDescent="0.25">
      <c r="A339" s="8"/>
      <c r="B339" s="8"/>
      <c r="C339" s="8"/>
      <c r="D339" s="5">
        <v>35</v>
      </c>
      <c r="E339" s="16">
        <f t="shared" si="120"/>
        <v>0</v>
      </c>
      <c r="F339" s="16">
        <f t="shared" si="121"/>
        <v>0</v>
      </c>
      <c r="G339" s="17">
        <f>($C$9-E339)^2</f>
        <v>101.13654444444444</v>
      </c>
      <c r="H339" s="18">
        <f>2*(E339-$C$9)</f>
        <v>-20.113333333333333</v>
      </c>
      <c r="I339" s="16">
        <f t="shared" si="122"/>
        <v>0.25</v>
      </c>
      <c r="J339" s="19">
        <v>1</v>
      </c>
      <c r="K339" s="16">
        <f t="shared" si="123"/>
        <v>35</v>
      </c>
      <c r="L339" s="19">
        <f t="shared" si="124"/>
        <v>0</v>
      </c>
      <c r="M339" s="16">
        <f t="shared" si="125"/>
        <v>0</v>
      </c>
    </row>
    <row r="340" spans="1:13" ht="15.75" x14ac:dyDescent="0.25">
      <c r="A340" s="8"/>
      <c r="B340" s="8"/>
      <c r="C340" s="8"/>
      <c r="D340" s="5">
        <v>40</v>
      </c>
      <c r="E340" s="16">
        <f t="shared" si="120"/>
        <v>0</v>
      </c>
      <c r="F340" s="16">
        <f t="shared" si="121"/>
        <v>0</v>
      </c>
      <c r="G340" s="17">
        <f>($C$10-E340)^2</f>
        <v>168.82671111111114</v>
      </c>
      <c r="H340" s="18">
        <f>2*(E340-$C$10)</f>
        <v>-25.986666666666668</v>
      </c>
      <c r="I340" s="16">
        <f t="shared" si="122"/>
        <v>0.25</v>
      </c>
      <c r="J340" s="19">
        <v>1</v>
      </c>
      <c r="K340" s="16">
        <f t="shared" si="123"/>
        <v>40</v>
      </c>
      <c r="L340" s="19">
        <f t="shared" si="124"/>
        <v>0</v>
      </c>
      <c r="M340" s="16">
        <f t="shared" si="125"/>
        <v>0</v>
      </c>
    </row>
    <row r="341" spans="1:13" ht="15.75" x14ac:dyDescent="0.25">
      <c r="A341" s="8"/>
      <c r="B341" s="8"/>
      <c r="C341" s="8"/>
      <c r="D341" s="5">
        <v>45</v>
      </c>
      <c r="E341" s="16">
        <f t="shared" si="120"/>
        <v>0</v>
      </c>
      <c r="F341" s="16">
        <f t="shared" si="121"/>
        <v>0</v>
      </c>
      <c r="G341" s="17">
        <f>($C$11-E341)^2</f>
        <v>208.22490000000005</v>
      </c>
      <c r="H341" s="18">
        <f>2*(E341-$C$11)</f>
        <v>-28.860000000000003</v>
      </c>
      <c r="I341" s="16">
        <f t="shared" si="122"/>
        <v>0.25</v>
      </c>
      <c r="J341" s="19">
        <v>1</v>
      </c>
      <c r="K341" s="16">
        <f t="shared" si="123"/>
        <v>45</v>
      </c>
      <c r="L341" s="19">
        <f t="shared" si="124"/>
        <v>0</v>
      </c>
      <c r="M341" s="16">
        <f t="shared" si="125"/>
        <v>0</v>
      </c>
    </row>
    <row r="342" spans="1:13" ht="16.5" thickBot="1" x14ac:dyDescent="0.3">
      <c r="A342" s="20"/>
      <c r="B342" s="20"/>
      <c r="C342" s="3"/>
      <c r="D342" s="5">
        <v>50</v>
      </c>
      <c r="E342" s="16">
        <f t="shared" si="120"/>
        <v>0</v>
      </c>
      <c r="F342" s="16">
        <f t="shared" si="121"/>
        <v>0</v>
      </c>
      <c r="G342" s="17">
        <f>($C$12-E342)^2</f>
        <v>206.40111111111116</v>
      </c>
      <c r="H342" s="18">
        <f>2*(E342-$C$12)</f>
        <v>-28.733333333333338</v>
      </c>
      <c r="I342" s="16">
        <f t="shared" si="122"/>
        <v>0.25</v>
      </c>
      <c r="J342" s="19">
        <v>1</v>
      </c>
      <c r="K342" s="16">
        <f t="shared" si="123"/>
        <v>50</v>
      </c>
      <c r="L342" s="19">
        <f t="shared" si="124"/>
        <v>0</v>
      </c>
      <c r="M342" s="16">
        <f t="shared" si="125"/>
        <v>0</v>
      </c>
    </row>
    <row r="343" spans="1:13" ht="16.5" thickTop="1" x14ac:dyDescent="0.25">
      <c r="A343" s="3"/>
      <c r="B343" s="3"/>
      <c r="C343" s="3"/>
      <c r="D343" s="3"/>
      <c r="E343" s="3"/>
      <c r="F343" s="3"/>
      <c r="G343" s="21">
        <f>SUM(G333:G342)</f>
        <v>892.15114444444464</v>
      </c>
      <c r="H343" s="11"/>
      <c r="I343" s="3"/>
      <c r="J343" s="3"/>
      <c r="K343" s="3"/>
      <c r="L343" s="22">
        <f>AVERAGE(L333:L342)</f>
        <v>0</v>
      </c>
      <c r="M343" s="22">
        <f>AVERAGE(M333:M342)</f>
        <v>0</v>
      </c>
    </row>
    <row r="345" spans="1:13" x14ac:dyDescent="0.25">
      <c r="A345" s="30" t="s">
        <v>42</v>
      </c>
    </row>
    <row r="346" spans="1:13" ht="31.5" x14ac:dyDescent="0.25">
      <c r="A346" s="8" t="s">
        <v>5</v>
      </c>
      <c r="B346" s="9" t="s">
        <v>6</v>
      </c>
      <c r="C346" s="3"/>
      <c r="D346" s="8" t="s">
        <v>7</v>
      </c>
      <c r="E346" s="10" t="s">
        <v>8</v>
      </c>
      <c r="F346" s="8" t="s">
        <v>9</v>
      </c>
      <c r="G346" s="8" t="s">
        <v>4</v>
      </c>
      <c r="H346" s="11"/>
      <c r="I346" s="3"/>
      <c r="J346" s="23" t="s">
        <v>49</v>
      </c>
      <c r="K346" s="24"/>
      <c r="L346" s="25" t="s">
        <v>10</v>
      </c>
      <c r="M346" s="26"/>
    </row>
    <row r="347" spans="1:13" ht="15.75" x14ac:dyDescent="0.25">
      <c r="A347" s="12" t="s">
        <v>50</v>
      </c>
      <c r="B347" s="12" t="s">
        <v>11</v>
      </c>
      <c r="C347" s="12"/>
      <c r="D347" s="12" t="s">
        <v>12</v>
      </c>
      <c r="E347" s="12" t="s">
        <v>45</v>
      </c>
      <c r="F347" s="12" t="s">
        <v>46</v>
      </c>
      <c r="G347" s="12" t="s">
        <v>13</v>
      </c>
      <c r="H347" s="13" t="s">
        <v>47</v>
      </c>
      <c r="I347" s="14" t="s">
        <v>48</v>
      </c>
      <c r="J347" s="13" t="s">
        <v>51</v>
      </c>
      <c r="K347" s="14" t="s">
        <v>14</v>
      </c>
      <c r="L347" s="15" t="s">
        <v>51</v>
      </c>
      <c r="M347" s="14" t="s">
        <v>14</v>
      </c>
    </row>
    <row r="348" spans="1:13" ht="15.75" x14ac:dyDescent="0.25">
      <c r="A348" s="8">
        <f>A333+L343</f>
        <v>0</v>
      </c>
      <c r="B348" s="8">
        <f>B333+M343</f>
        <v>0</v>
      </c>
      <c r="C348" s="8"/>
      <c r="D348" s="5">
        <v>5</v>
      </c>
      <c r="E348" s="16">
        <f>$A$348+$B$348*D348</f>
        <v>0</v>
      </c>
      <c r="F348" s="16">
        <f>E348</f>
        <v>0</v>
      </c>
      <c r="G348" s="17">
        <f>($C$3-E348)^2</f>
        <v>4.5796000000000001</v>
      </c>
      <c r="H348" s="18">
        <f>2*(E348-$C$3)</f>
        <v>-4.28</v>
      </c>
      <c r="I348" s="16">
        <f>EXP(E348)/(1 + EXP(E348))^2</f>
        <v>0.25</v>
      </c>
      <c r="J348" s="19">
        <v>1</v>
      </c>
      <c r="K348" s="16">
        <f>D348</f>
        <v>5</v>
      </c>
      <c r="L348" s="19">
        <f>-1*$C$14*H348*I348*J348</f>
        <v>0</v>
      </c>
      <c r="M348" s="16">
        <f>-1*$C$14*H348*I348*K348</f>
        <v>0</v>
      </c>
    </row>
    <row r="349" spans="1:13" ht="15.75" x14ac:dyDescent="0.25">
      <c r="A349" s="8"/>
      <c r="B349" s="8"/>
      <c r="C349" s="8"/>
      <c r="D349" s="5">
        <v>10</v>
      </c>
      <c r="E349" s="16">
        <f t="shared" ref="E349:E357" si="126">$A$348+$B$348*D349</f>
        <v>0</v>
      </c>
      <c r="F349" s="16">
        <f t="shared" ref="F349:F357" si="127">E349</f>
        <v>0</v>
      </c>
      <c r="G349" s="17">
        <f>($C$4-E349)^2</f>
        <v>11.424399999999999</v>
      </c>
      <c r="H349" s="18">
        <f>2*(E349-$C$4)</f>
        <v>-6.76</v>
      </c>
      <c r="I349" s="16">
        <f t="shared" ref="I349:I357" si="128">EXP(E349)/(1 + EXP(E349))^2</f>
        <v>0.25</v>
      </c>
      <c r="J349" s="19">
        <v>1</v>
      </c>
      <c r="K349" s="16">
        <f t="shared" ref="K349:K357" si="129">D349</f>
        <v>10</v>
      </c>
      <c r="L349" s="19">
        <f t="shared" ref="L349:L357" si="130">-1*$C$14*H349*I349*J349</f>
        <v>0</v>
      </c>
      <c r="M349" s="16">
        <f t="shared" ref="M349:M357" si="131">-1*$C$14*H349*I349*K349</f>
        <v>0</v>
      </c>
    </row>
    <row r="350" spans="1:13" ht="15.75" x14ac:dyDescent="0.25">
      <c r="A350" s="8"/>
      <c r="B350" s="8"/>
      <c r="C350" s="8"/>
      <c r="D350" s="5">
        <v>15</v>
      </c>
      <c r="E350" s="16">
        <f t="shared" si="126"/>
        <v>0</v>
      </c>
      <c r="F350" s="16">
        <f t="shared" si="127"/>
        <v>0</v>
      </c>
      <c r="G350" s="17">
        <f>($C$5-E350)^2</f>
        <v>14.8996</v>
      </c>
      <c r="H350" s="18">
        <f>2*(E350-$C$5)</f>
        <v>-7.72</v>
      </c>
      <c r="I350" s="16">
        <f t="shared" si="128"/>
        <v>0.25</v>
      </c>
      <c r="J350" s="19">
        <v>1</v>
      </c>
      <c r="K350" s="16">
        <f t="shared" si="129"/>
        <v>15</v>
      </c>
      <c r="L350" s="19">
        <f t="shared" si="130"/>
        <v>0</v>
      </c>
      <c r="M350" s="16">
        <f t="shared" si="131"/>
        <v>0</v>
      </c>
    </row>
    <row r="351" spans="1:13" ht="15.75" x14ac:dyDescent="0.25">
      <c r="A351" s="8"/>
      <c r="B351" s="8"/>
      <c r="C351" s="8"/>
      <c r="D351" s="5">
        <v>20</v>
      </c>
      <c r="E351" s="16">
        <f t="shared" si="126"/>
        <v>0</v>
      </c>
      <c r="F351" s="16">
        <f t="shared" si="127"/>
        <v>0</v>
      </c>
      <c r="G351" s="17">
        <f>($C$6-E351)^2</f>
        <v>20.976400000000002</v>
      </c>
      <c r="H351" s="18">
        <f>2*(E351-$C$6)</f>
        <v>-9.16</v>
      </c>
      <c r="I351" s="16">
        <f t="shared" si="128"/>
        <v>0.25</v>
      </c>
      <c r="J351" s="19">
        <v>1</v>
      </c>
      <c r="K351" s="16">
        <f t="shared" si="129"/>
        <v>20</v>
      </c>
      <c r="L351" s="19">
        <f t="shared" si="130"/>
        <v>0</v>
      </c>
      <c r="M351" s="16">
        <f t="shared" si="131"/>
        <v>0</v>
      </c>
    </row>
    <row r="352" spans="1:13" ht="15.75" x14ac:dyDescent="0.25">
      <c r="A352" s="8"/>
      <c r="B352" s="8"/>
      <c r="C352" s="8"/>
      <c r="D352" s="5">
        <v>25</v>
      </c>
      <c r="E352" s="16">
        <f t="shared" si="126"/>
        <v>0</v>
      </c>
      <c r="F352" s="16">
        <f t="shared" si="127"/>
        <v>0</v>
      </c>
      <c r="G352" s="17">
        <f>($C$7-E352)^2</f>
        <v>75.400277777777788</v>
      </c>
      <c r="H352" s="18">
        <f>2*(E352-$C$7)</f>
        <v>-17.366666666666667</v>
      </c>
      <c r="I352" s="16">
        <f t="shared" si="128"/>
        <v>0.25</v>
      </c>
      <c r="J352" s="19">
        <v>1</v>
      </c>
      <c r="K352" s="16">
        <f t="shared" si="129"/>
        <v>25</v>
      </c>
      <c r="L352" s="19">
        <f t="shared" si="130"/>
        <v>0</v>
      </c>
      <c r="M352" s="16">
        <f t="shared" si="131"/>
        <v>0</v>
      </c>
    </row>
    <row r="353" spans="1:13" ht="15.75" x14ac:dyDescent="0.25">
      <c r="A353" s="8"/>
      <c r="B353" s="8"/>
      <c r="C353" s="8"/>
      <c r="D353" s="5">
        <v>30</v>
      </c>
      <c r="E353" s="16">
        <f t="shared" si="126"/>
        <v>0</v>
      </c>
      <c r="F353" s="16">
        <f t="shared" si="127"/>
        <v>0</v>
      </c>
      <c r="G353" s="17">
        <f>($C$8-E353)^2</f>
        <v>80.281600000000012</v>
      </c>
      <c r="H353" s="18">
        <f>2*(E353-$C$8)</f>
        <v>-17.920000000000002</v>
      </c>
      <c r="I353" s="16">
        <f t="shared" si="128"/>
        <v>0.25</v>
      </c>
      <c r="J353" s="19">
        <v>1</v>
      </c>
      <c r="K353" s="16">
        <f t="shared" si="129"/>
        <v>30</v>
      </c>
      <c r="L353" s="19">
        <f t="shared" si="130"/>
        <v>0</v>
      </c>
      <c r="M353" s="16">
        <f t="shared" si="131"/>
        <v>0</v>
      </c>
    </row>
    <row r="354" spans="1:13" ht="15.75" x14ac:dyDescent="0.25">
      <c r="A354" s="8"/>
      <c r="B354" s="8"/>
      <c r="C354" s="8"/>
      <c r="D354" s="5">
        <v>35</v>
      </c>
      <c r="E354" s="16">
        <f t="shared" si="126"/>
        <v>0</v>
      </c>
      <c r="F354" s="16">
        <f t="shared" si="127"/>
        <v>0</v>
      </c>
      <c r="G354" s="17">
        <f>($C$9-E354)^2</f>
        <v>101.13654444444444</v>
      </c>
      <c r="H354" s="18">
        <f>2*(E354-$C$9)</f>
        <v>-20.113333333333333</v>
      </c>
      <c r="I354" s="16">
        <f t="shared" si="128"/>
        <v>0.25</v>
      </c>
      <c r="J354" s="19">
        <v>1</v>
      </c>
      <c r="K354" s="16">
        <f t="shared" si="129"/>
        <v>35</v>
      </c>
      <c r="L354" s="19">
        <f t="shared" si="130"/>
        <v>0</v>
      </c>
      <c r="M354" s="16">
        <f t="shared" si="131"/>
        <v>0</v>
      </c>
    </row>
    <row r="355" spans="1:13" ht="15.75" x14ac:dyDescent="0.25">
      <c r="A355" s="8"/>
      <c r="B355" s="8"/>
      <c r="C355" s="8"/>
      <c r="D355" s="5">
        <v>40</v>
      </c>
      <c r="E355" s="16">
        <f t="shared" si="126"/>
        <v>0</v>
      </c>
      <c r="F355" s="16">
        <f t="shared" si="127"/>
        <v>0</v>
      </c>
      <c r="G355" s="17">
        <f>($C$10-E355)^2</f>
        <v>168.82671111111114</v>
      </c>
      <c r="H355" s="18">
        <f>2*(E355-$C$10)</f>
        <v>-25.986666666666668</v>
      </c>
      <c r="I355" s="16">
        <f t="shared" si="128"/>
        <v>0.25</v>
      </c>
      <c r="J355" s="19">
        <v>1</v>
      </c>
      <c r="K355" s="16">
        <f t="shared" si="129"/>
        <v>40</v>
      </c>
      <c r="L355" s="19">
        <f t="shared" si="130"/>
        <v>0</v>
      </c>
      <c r="M355" s="16">
        <f t="shared" si="131"/>
        <v>0</v>
      </c>
    </row>
    <row r="356" spans="1:13" ht="15.75" x14ac:dyDescent="0.25">
      <c r="A356" s="8"/>
      <c r="B356" s="8"/>
      <c r="C356" s="8"/>
      <c r="D356" s="5">
        <v>45</v>
      </c>
      <c r="E356" s="16">
        <f t="shared" si="126"/>
        <v>0</v>
      </c>
      <c r="F356" s="16">
        <f t="shared" si="127"/>
        <v>0</v>
      </c>
      <c r="G356" s="17">
        <f>($C$11-E356)^2</f>
        <v>208.22490000000005</v>
      </c>
      <c r="H356" s="18">
        <f>2*(E356-$C$11)</f>
        <v>-28.860000000000003</v>
      </c>
      <c r="I356" s="16">
        <f t="shared" si="128"/>
        <v>0.25</v>
      </c>
      <c r="J356" s="19">
        <v>1</v>
      </c>
      <c r="K356" s="16">
        <f t="shared" si="129"/>
        <v>45</v>
      </c>
      <c r="L356" s="19">
        <f t="shared" si="130"/>
        <v>0</v>
      </c>
      <c r="M356" s="16">
        <f t="shared" si="131"/>
        <v>0</v>
      </c>
    </row>
    <row r="357" spans="1:13" ht="16.5" thickBot="1" x14ac:dyDescent="0.3">
      <c r="A357" s="20"/>
      <c r="B357" s="20"/>
      <c r="C357" s="3"/>
      <c r="D357" s="5">
        <v>50</v>
      </c>
      <c r="E357" s="16">
        <f t="shared" si="126"/>
        <v>0</v>
      </c>
      <c r="F357" s="16">
        <f t="shared" si="127"/>
        <v>0</v>
      </c>
      <c r="G357" s="17">
        <f>($C$12-E357)^2</f>
        <v>206.40111111111116</v>
      </c>
      <c r="H357" s="18">
        <f>2*(E357-$C$12)</f>
        <v>-28.733333333333338</v>
      </c>
      <c r="I357" s="16">
        <f t="shared" si="128"/>
        <v>0.25</v>
      </c>
      <c r="J357" s="19">
        <v>1</v>
      </c>
      <c r="K357" s="16">
        <f t="shared" si="129"/>
        <v>50</v>
      </c>
      <c r="L357" s="19">
        <f t="shared" si="130"/>
        <v>0</v>
      </c>
      <c r="M357" s="16">
        <f t="shared" si="131"/>
        <v>0</v>
      </c>
    </row>
    <row r="358" spans="1:13" ht="16.5" thickTop="1" x14ac:dyDescent="0.25">
      <c r="A358" s="3"/>
      <c r="B358" s="3"/>
      <c r="C358" s="3"/>
      <c r="D358" s="3"/>
      <c r="E358" s="3"/>
      <c r="F358" s="3"/>
      <c r="G358" s="21">
        <f>SUM(G348:G357)</f>
        <v>892.15114444444464</v>
      </c>
      <c r="H358" s="11"/>
      <c r="I358" s="3"/>
      <c r="J358" s="3"/>
      <c r="K358" s="3"/>
      <c r="L358" s="22">
        <f>AVERAGE(L348:L357)</f>
        <v>0</v>
      </c>
      <c r="M358" s="22">
        <f>AVERAGE(M348:M357)</f>
        <v>0</v>
      </c>
    </row>
  </sheetData>
  <mergeCells count="49">
    <mergeCell ref="J316:K316"/>
    <mergeCell ref="L316:M316"/>
    <mergeCell ref="J331:K331"/>
    <mergeCell ref="L331:M331"/>
    <mergeCell ref="J346:K346"/>
    <mergeCell ref="L346:M346"/>
    <mergeCell ref="J271:K271"/>
    <mergeCell ref="L271:M271"/>
    <mergeCell ref="J286:K286"/>
    <mergeCell ref="L286:M286"/>
    <mergeCell ref="J301:K301"/>
    <mergeCell ref="L301:M301"/>
    <mergeCell ref="J226:K226"/>
    <mergeCell ref="L226:M226"/>
    <mergeCell ref="J241:K241"/>
    <mergeCell ref="L241:M241"/>
    <mergeCell ref="J256:K256"/>
    <mergeCell ref="L256:M256"/>
    <mergeCell ref="J181:K181"/>
    <mergeCell ref="L181:M181"/>
    <mergeCell ref="J196:K196"/>
    <mergeCell ref="L196:M196"/>
    <mergeCell ref="J211:K211"/>
    <mergeCell ref="L211:M211"/>
    <mergeCell ref="J136:K136"/>
    <mergeCell ref="L136:M136"/>
    <mergeCell ref="J151:K151"/>
    <mergeCell ref="L151:M151"/>
    <mergeCell ref="J166:K166"/>
    <mergeCell ref="L166:M166"/>
    <mergeCell ref="J91:K91"/>
    <mergeCell ref="L91:M91"/>
    <mergeCell ref="J106:K106"/>
    <mergeCell ref="L106:M106"/>
    <mergeCell ref="J121:K121"/>
    <mergeCell ref="L121:M121"/>
    <mergeCell ref="J46:K46"/>
    <mergeCell ref="L46:M46"/>
    <mergeCell ref="J61:K61"/>
    <mergeCell ref="L61:M61"/>
    <mergeCell ref="J76:K76"/>
    <mergeCell ref="L76:M76"/>
    <mergeCell ref="B1:C1"/>
    <mergeCell ref="A14:B14"/>
    <mergeCell ref="J16:K16"/>
    <mergeCell ref="L16:M16"/>
    <mergeCell ref="J31:K31"/>
    <mergeCell ref="L31:M31"/>
    <mergeCell ref="I3:J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2004-4746-4A57-B26A-802234A8BF52}">
  <dimension ref="B1:H31"/>
  <sheetViews>
    <sheetView workbookViewId="0">
      <selection activeCell="H3" sqref="H3"/>
    </sheetView>
  </sheetViews>
  <sheetFormatPr defaultRowHeight="15.75" x14ac:dyDescent="0.25"/>
  <cols>
    <col min="1" max="1" width="4" style="3" customWidth="1"/>
    <col min="2" max="3" width="11.42578125" style="3" customWidth="1"/>
    <col min="4" max="4" width="15.42578125" style="16" customWidth="1"/>
    <col min="5" max="5" width="25.42578125" style="16" customWidth="1"/>
    <col min="6" max="6" width="5.85546875" style="16" customWidth="1"/>
    <col min="7" max="7" width="13.85546875" style="16" customWidth="1"/>
    <col min="8" max="8" width="14.7109375" style="16" customWidth="1"/>
    <col min="9" max="9" width="16.28515625" style="3" customWidth="1"/>
    <col min="10" max="10" width="18.42578125" style="3" customWidth="1"/>
    <col min="11" max="16384" width="9.140625" style="3"/>
  </cols>
  <sheetData>
    <row r="1" spans="2:8" ht="16.5" thickBot="1" x14ac:dyDescent="0.3"/>
    <row r="2" spans="2:8" ht="21" thickBot="1" x14ac:dyDescent="0.4">
      <c r="B2" s="37" t="s">
        <v>15</v>
      </c>
      <c r="C2" s="38" t="s">
        <v>16</v>
      </c>
      <c r="D2" s="38"/>
      <c r="E2" s="39" t="s">
        <v>19</v>
      </c>
      <c r="G2" s="3"/>
      <c r="H2" s="3"/>
    </row>
    <row r="3" spans="2:8" ht="20.25" thickBot="1" x14ac:dyDescent="0.35">
      <c r="B3" s="34" t="s">
        <v>1</v>
      </c>
      <c r="C3" s="35" t="s">
        <v>0</v>
      </c>
      <c r="D3" s="35" t="s">
        <v>17</v>
      </c>
      <c r="E3" s="36" t="s">
        <v>18</v>
      </c>
      <c r="F3" s="8"/>
      <c r="G3" s="27" t="s">
        <v>20</v>
      </c>
      <c r="H3" s="32"/>
    </row>
    <row r="4" spans="2:8" x14ac:dyDescent="0.25">
      <c r="B4" s="40">
        <v>5</v>
      </c>
      <c r="C4" s="41">
        <v>2.14</v>
      </c>
      <c r="D4" s="42"/>
      <c r="E4" s="43"/>
      <c r="G4" s="3"/>
      <c r="H4" s="3"/>
    </row>
    <row r="5" spans="2:8" x14ac:dyDescent="0.25">
      <c r="B5" s="40">
        <v>10</v>
      </c>
      <c r="C5" s="41">
        <v>3.38</v>
      </c>
      <c r="D5" s="42"/>
      <c r="E5" s="43"/>
      <c r="G5" s="3"/>
      <c r="H5" s="3"/>
    </row>
    <row r="6" spans="2:8" x14ac:dyDescent="0.25">
      <c r="B6" s="40">
        <v>15</v>
      </c>
      <c r="C6" s="41">
        <v>3.86</v>
      </c>
      <c r="D6" s="42"/>
      <c r="E6" s="43"/>
      <c r="G6" s="3"/>
      <c r="H6" s="3"/>
    </row>
    <row r="7" spans="2:8" x14ac:dyDescent="0.25">
      <c r="B7" s="40">
        <v>20</v>
      </c>
      <c r="C7" s="41">
        <v>4.58</v>
      </c>
      <c r="D7" s="42"/>
      <c r="E7" s="43"/>
      <c r="G7" s="3"/>
      <c r="H7" s="3"/>
    </row>
    <row r="8" spans="2:8" x14ac:dyDescent="0.25">
      <c r="B8" s="40">
        <v>25</v>
      </c>
      <c r="C8" s="41">
        <v>8.6833333333333336</v>
      </c>
      <c r="D8" s="42"/>
      <c r="E8" s="43"/>
      <c r="G8" s="3"/>
      <c r="H8" s="3"/>
    </row>
    <row r="9" spans="2:8" x14ac:dyDescent="0.25">
      <c r="B9" s="40">
        <v>30</v>
      </c>
      <c r="C9" s="41">
        <v>8.9600000000000009</v>
      </c>
      <c r="D9" s="42"/>
      <c r="E9" s="43"/>
      <c r="G9" s="3"/>
      <c r="H9" s="3"/>
    </row>
    <row r="10" spans="2:8" x14ac:dyDescent="0.25">
      <c r="B10" s="40">
        <v>35</v>
      </c>
      <c r="C10" s="41">
        <v>10.056666666666667</v>
      </c>
      <c r="D10" s="42"/>
      <c r="E10" s="43"/>
      <c r="G10" s="3"/>
      <c r="H10" s="3"/>
    </row>
    <row r="11" spans="2:8" x14ac:dyDescent="0.25">
      <c r="B11" s="40">
        <v>40</v>
      </c>
      <c r="C11" s="41">
        <v>12.993333333333334</v>
      </c>
      <c r="D11" s="42"/>
      <c r="E11" s="43"/>
      <c r="G11" s="3"/>
      <c r="H11" s="3"/>
    </row>
    <row r="12" spans="2:8" x14ac:dyDescent="0.25">
      <c r="B12" s="40">
        <v>45</v>
      </c>
      <c r="C12" s="41">
        <v>14.430000000000001</v>
      </c>
      <c r="D12" s="42"/>
      <c r="E12" s="43"/>
      <c r="G12" s="3"/>
      <c r="H12" s="3"/>
    </row>
    <row r="13" spans="2:8" ht="16.5" thickBot="1" x14ac:dyDescent="0.3">
      <c r="B13" s="44">
        <v>50</v>
      </c>
      <c r="C13" s="45">
        <v>14.366666666666669</v>
      </c>
      <c r="D13" s="46"/>
      <c r="E13" s="47"/>
      <c r="G13" s="3"/>
      <c r="H13" s="3"/>
    </row>
    <row r="14" spans="2:8" x14ac:dyDescent="0.25">
      <c r="D14" s="5"/>
      <c r="E14" s="6"/>
    </row>
    <row r="15" spans="2:8" ht="16.5" thickBot="1" x14ac:dyDescent="0.3">
      <c r="D15" s="5"/>
      <c r="E15" s="6"/>
    </row>
    <row r="16" spans="2:8" x14ac:dyDescent="0.25">
      <c r="B16" s="28" t="s">
        <v>21</v>
      </c>
      <c r="C16" s="48"/>
    </row>
    <row r="17" spans="2:4" ht="16.5" thickBot="1" x14ac:dyDescent="0.3">
      <c r="B17" s="29" t="s">
        <v>22</v>
      </c>
      <c r="C17" s="33"/>
    </row>
    <row r="26" spans="2:4" x14ac:dyDescent="0.25">
      <c r="D26" s="16" t="s">
        <v>2</v>
      </c>
    </row>
    <row r="28" spans="2:4" x14ac:dyDescent="0.25">
      <c r="D28" s="16" t="s">
        <v>2</v>
      </c>
    </row>
    <row r="29" spans="2:4" x14ac:dyDescent="0.25">
      <c r="D29" s="16" t="s">
        <v>2</v>
      </c>
    </row>
    <row r="31" spans="2:4" x14ac:dyDescent="0.25">
      <c r="D31" s="1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Neural Network</vt:lpstr>
      <vt:lpstr>General Linear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Wade Morphew</dc:creator>
  <cp:lastModifiedBy>Jason Wade Morphew</cp:lastModifiedBy>
  <dcterms:created xsi:type="dcterms:W3CDTF">2026-01-16T19:00:46Z</dcterms:created>
  <dcterms:modified xsi:type="dcterms:W3CDTF">2026-02-02T20:14:43Z</dcterms:modified>
</cp:coreProperties>
</file>