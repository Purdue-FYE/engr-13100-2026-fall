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Neural Network" sheetId="2" state="visible" r:id="rId4"/>
    <sheet name="General Linear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<sst xmlns="http://schemas.openxmlformats.org/spreadsheetml/2006/main" count="511" uniqueCount="53">
  <si>
    <r>
      <rPr>
        <sz val="12"/>
        <color theme="1"/>
        <rFont val="Times New Roman"/>
        <family val="1"/>
        <charset val="1"/>
      </rPr>
      <t xml:space="preserve">x</t>
    </r>
    <r>
      <rPr>
        <vertAlign val="subscript"/>
        <sz val="12"/>
        <color theme="1"/>
        <rFont val="Times New Roman"/>
        <family val="1"/>
        <charset val="1"/>
      </rPr>
      <t xml:space="preserve">i</t>
    </r>
  </si>
  <si>
    <r>
      <rPr>
        <sz val="12"/>
        <color theme="1"/>
        <rFont val="Times New Roman"/>
        <family val="1"/>
        <charset val="1"/>
      </rPr>
      <t xml:space="preserve">y</t>
    </r>
    <r>
      <rPr>
        <vertAlign val="subscript"/>
        <sz val="12"/>
        <color theme="1"/>
        <rFont val="Times New Roman"/>
        <family val="1"/>
        <charset val="1"/>
      </rPr>
      <t xml:space="preserve">i</t>
    </r>
  </si>
  <si>
    <t xml:space="preserve">Length</t>
  </si>
  <si>
    <t xml:space="preserve">Resistance</t>
  </si>
  <si>
    <t xml:space="preserve"> </t>
  </si>
  <si>
    <t xml:space="preserve">Desired Function to Learn</t>
  </si>
  <si>
    <t xml:space="preserve">Predictions</t>
  </si>
  <si>
    <t xml:space="preserve">Learning rate (k):</t>
  </si>
  <si>
    <t xml:space="preserve">Bias</t>
  </si>
  <si>
    <t xml:space="preserve">Weights</t>
  </si>
  <si>
    <t xml:space="preserve">Inputs</t>
  </si>
  <si>
    <t xml:space="preserve">Weighted Sum</t>
  </si>
  <si>
    <t xml:space="preserve">Output</t>
  </si>
  <si>
    <t xml:space="preserve">Cost</t>
  </si>
  <si>
    <t xml:space="preserve">𝛿z_1/</t>
  </si>
  <si>
    <t xml:space="preserve">𝛿C/</t>
  </si>
  <si>
    <t xml:space="preserve">b_1</t>
  </si>
  <si>
    <t xml:space="preserve">w_1</t>
  </si>
  <si>
    <t xml:space="preserve">x_1</t>
  </si>
  <si>
    <t xml:space="preserve">z_1</t>
  </si>
  <si>
    <t xml:space="preserve">a_1</t>
  </si>
  <si>
    <t xml:space="preserve">C</t>
  </si>
  <si>
    <t xml:space="preserve">𝛿C/𝛿a_1</t>
  </si>
  <si>
    <t xml:space="preserve">𝛿a_1/𝛿z_1</t>
  </si>
  <si>
    <t xml:space="preserve">𝛿b_1</t>
  </si>
  <si>
    <t xml:space="preserve">𝛿w_1</t>
  </si>
  <si>
    <t xml:space="preserve">Step 1:</t>
  </si>
  <si>
    <t xml:space="preserve">Step 2:</t>
  </si>
  <si>
    <t xml:space="preserve">Step 3:</t>
  </si>
  <si>
    <t xml:space="preserve">Step 4:</t>
  </si>
  <si>
    <t xml:space="preserve">Step 5:</t>
  </si>
  <si>
    <t xml:space="preserve">Step 6:</t>
  </si>
  <si>
    <t xml:space="preserve">Step 7:</t>
  </si>
  <si>
    <t xml:space="preserve">Step 8:</t>
  </si>
  <si>
    <t xml:space="preserve">Step 9:</t>
  </si>
  <si>
    <t xml:space="preserve">Step 10:</t>
  </si>
  <si>
    <t xml:space="preserve">Step 11:</t>
  </si>
  <si>
    <t xml:space="preserve">Step 12:</t>
  </si>
  <si>
    <t xml:space="preserve">Step 13:</t>
  </si>
  <si>
    <t xml:space="preserve">Step 14:</t>
  </si>
  <si>
    <t xml:space="preserve">Step 15:</t>
  </si>
  <si>
    <t xml:space="preserve">Step 16:</t>
  </si>
  <si>
    <t xml:space="preserve">Step 17:</t>
  </si>
  <si>
    <t xml:space="preserve">Step 18:</t>
  </si>
  <si>
    <t xml:space="preserve">Step 19:</t>
  </si>
  <si>
    <t xml:space="preserve">Step 20:</t>
  </si>
  <si>
    <t xml:space="preserve">Step 21:</t>
  </si>
  <si>
    <r>
      <rPr>
        <sz val="12"/>
        <color theme="1"/>
        <rFont val="Times New Roman"/>
        <family val="1"/>
        <charset val="1"/>
      </rPr>
      <t xml:space="preserve">e</t>
    </r>
    <r>
      <rPr>
        <vertAlign val="subscript"/>
        <sz val="12"/>
        <color theme="1"/>
        <rFont val="Times New Roman"/>
        <family val="1"/>
        <charset val="1"/>
      </rPr>
      <t xml:space="preserve">i</t>
    </r>
    <r>
      <rPr>
        <vertAlign val="superscript"/>
        <sz val="12"/>
        <color theme="1"/>
        <rFont val="Times New Roman"/>
        <family val="1"/>
        <charset val="1"/>
      </rPr>
      <t xml:space="preserve">2</t>
    </r>
  </si>
  <si>
    <r>
      <rPr>
        <b val="true"/>
        <sz val="12"/>
        <color theme="1"/>
        <rFont val="Times New Roman"/>
        <family val="1"/>
        <charset val="1"/>
      </rPr>
      <t xml:space="preserve">f(x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i</t>
    </r>
    <r>
      <rPr>
        <b val="true"/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</si>
  <si>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[f(x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i</t>
    </r>
    <r>
      <rPr>
        <b val="true"/>
        <sz val="12"/>
        <color theme="1"/>
        <rFont val="Times New Roman"/>
        <family val="1"/>
        <charset val="1"/>
      </rPr>
      <t xml:space="preserve">) - y</t>
    </r>
    <r>
      <rPr>
        <b val="true"/>
        <vertAlign val="subscript"/>
        <sz val="12"/>
        <color theme="1"/>
        <rFont val="Times New Roman"/>
        <family val="1"/>
        <charset val="1"/>
      </rPr>
      <t xml:space="preserve">i</t>
    </r>
    <r>
      <rPr>
        <b val="true"/>
        <sz val="12"/>
        <color theme="1"/>
        <rFont val="Times New Roman"/>
        <family val="1"/>
        <charset val="1"/>
      </rPr>
      <t xml:space="preserve">]</t>
    </r>
    <r>
      <rPr>
        <b val="true"/>
        <vertAlign val="superscript"/>
        <sz val="12"/>
        <color theme="1"/>
        <rFont val="Times New Roman"/>
        <family val="1"/>
        <charset val="1"/>
      </rPr>
      <t xml:space="preserve">2</t>
    </r>
  </si>
  <si>
    <t xml:space="preserve">SSE</t>
  </si>
  <si>
    <t xml:space="preserve">Slope:</t>
  </si>
  <si>
    <t xml:space="preserve">Intercept: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</si>
</sst>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000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vertAlign val="subscript"/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0"/>
      <color theme="1"/>
      <name val="Arial"/>
      <family val="0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1"/>
      <color rgb="FFFF0000"/>
      <name val="Aptos Narrow"/>
      <family val="2"/>
      <charset val="1"/>
    </font>
    <font>
      <sz val="11"/>
      <color rgb="FF000000"/>
      <name val="Times New Roman"/>
      <family val="0"/>
    </font>
    <font>
      <vertAlign val="superscript"/>
      <sz val="12"/>
      <color theme="1"/>
      <name val="Times New Roman"/>
      <family val="1"/>
      <charset val="1"/>
    </font>
    <font>
      <b val="true"/>
      <vertAlign val="subscript"/>
      <sz val="12"/>
      <color theme="1"/>
      <name val="Times New Roman"/>
      <family val="1"/>
      <charset val="1"/>
    </font>
    <font>
      <b val="true"/>
      <vertAlign val="superscript"/>
      <sz val="12"/>
      <color theme="1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5999"/>
        <bgColor rgb="FFA6CAEC"/>
      </patternFill>
    </fill>
    <fill>
      <patternFill patternType="solid">
        <fgColor theme="7" tint="0.7999"/>
        <bgColor rgb="FFDCEAF7"/>
      </patternFill>
    </fill>
    <fill>
      <patternFill patternType="solid">
        <fgColor theme="9" tint="0.5999"/>
        <bgColor rgb="FFD9F2D0"/>
      </patternFill>
    </fill>
    <fill>
      <patternFill patternType="solid">
        <fgColor theme="9" tint="0.7999"/>
        <bgColor rgb="FFDCEAF7"/>
      </patternFill>
    </fill>
    <fill>
      <patternFill patternType="solid">
        <fgColor theme="3" tint="0.8999"/>
        <bgColor rgb="FFCAEEFB"/>
      </patternFill>
    </fill>
    <fill>
      <patternFill patternType="solid">
        <fgColor theme="3" tint="0.7499"/>
        <bgColor rgb="FF96DCF8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7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7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96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657360</xdr:colOff>
      <xdr:row>2</xdr:row>
      <xdr:rowOff>95400</xdr:rowOff>
    </xdr:from>
    <xdr:to>
      <xdr:col>6</xdr:col>
      <xdr:colOff>1433520</xdr:colOff>
      <xdr:row>8</xdr:row>
      <xdr:rowOff>61920</xdr:rowOff>
    </xdr:to>
    <xdr:grpSp>
      <xdr:nvGrpSpPr>
        <xdr:cNvPr id="1" name="Shape 2"/>
        <xdr:cNvGrpSpPr/>
      </xdr:nvGrpSpPr>
      <xdr:grpSpPr>
        <a:xfrm>
          <a:off x="3470400" y="476280"/>
          <a:ext cx="3600720" cy="1109520"/>
          <a:chOff x="3470400" y="476280"/>
          <a:chExt cx="3600720" cy="1109520"/>
        </a:xfrm>
      </xdr:grpSpPr>
      <xdr:sp>
        <xdr:nvSpPr>
          <xdr:cNvPr id="2" name="Shape 13"/>
          <xdr:cNvSpPr/>
        </xdr:nvSpPr>
        <xdr:spPr>
          <a:xfrm>
            <a:off x="3470400" y="1077840"/>
            <a:ext cx="884880" cy="505080"/>
          </a:xfrm>
          <a:prstGeom prst="ellipse">
            <a:avLst/>
          </a:prstGeom>
          <a:solidFill>
            <a:srgbClr val="CFE2F3"/>
          </a:solidFill>
          <a:ln w="9525">
            <a:solidFill>
              <a:srgbClr val="000000"/>
            </a:solidFill>
            <a:round/>
          </a:ln>
        </xdr:spPr>
        <xdr:style>
          <a:lnRef idx="0"/>
          <a:fillRef idx="0"/>
          <a:effectRef idx="0"/>
          <a:fontRef idx="minor"/>
        </xdr:style>
        <xdr:txBody>
          <a:bodyPr lIns="90000" tIns="91440" rIns="90000" bIns="91440" anchor="ctr">
            <a:noAutofit/>
          </a:bodyPr>
          <a:p>
            <a:pPr algn="ctr">
              <a:lnSpc>
                <a:spcPct val="100000"/>
              </a:lnSpc>
              <a:tabLst>
                <a:tab pos="0" algn="l"/>
              </a:tabLst>
            </a:pPr>
            <a:r>
              <a:rPr lang="en-US" sz="1100" b="0" u="none" strike="noStrike">
                <a:solidFill>
                  <a:srgbClr val="000000"/>
                </a:solidFill>
                <a:effectLst/>
                <a:uFillTx/>
                <a:latin typeface="Times New Roman"/>
              </a:rPr>
              <a:t>Input: Length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3" name="Shape 15"/>
          <xdr:cNvSpPr/>
        </xdr:nvSpPr>
        <xdr:spPr>
          <a:xfrm>
            <a:off x="5892840" y="1080720"/>
            <a:ext cx="1178280" cy="505080"/>
          </a:xfrm>
          <a:prstGeom prst="ellipse">
            <a:avLst/>
          </a:prstGeom>
          <a:solidFill>
            <a:srgbClr val="CFE2F3"/>
          </a:solidFill>
          <a:ln w="9525">
            <a:solidFill>
              <a:srgbClr val="000000"/>
            </a:solidFill>
            <a:round/>
          </a:ln>
        </xdr:spPr>
        <xdr:style>
          <a:lnRef idx="0"/>
          <a:fillRef idx="0"/>
          <a:effectRef idx="0"/>
          <a:fontRef idx="minor"/>
        </xdr:style>
        <xdr:txBody>
          <a:bodyPr lIns="90000" tIns="91440" rIns="90000" bIns="91440" anchor="ctr">
            <a:noAutofit/>
          </a:bodyPr>
          <a:p>
            <a:pPr algn="ctr">
              <a:lnSpc>
                <a:spcPct val="100000"/>
              </a:lnSpc>
              <a:tabLst>
                <a:tab pos="0" algn="l"/>
              </a:tabLst>
            </a:pPr>
            <a:r>
              <a:rPr lang="en-US" sz="1100" b="0" u="none" strike="noStrike">
                <a:solidFill>
                  <a:srgbClr val="000000"/>
                </a:solidFill>
                <a:effectLst/>
                <a:uFillTx/>
                <a:latin typeface="Times New Roman"/>
              </a:rPr>
              <a:t>Output: Resistance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4" name="Shape 16"/>
          <xdr:cNvSpPr/>
        </xdr:nvSpPr>
        <xdr:spPr>
          <a:xfrm>
            <a:off x="6033240" y="476280"/>
            <a:ext cx="585000" cy="3607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tIns="91440" rIns="90000" bIns="91440" anchor="t">
            <a:noAutofit/>
          </a:bodyPr>
          <a:p>
            <a:pPr>
              <a:lnSpc>
                <a:spcPct val="100000"/>
              </a:lnSpc>
              <a:tabLst>
                <a:tab pos="0" algn="l"/>
              </a:tabLst>
            </a:pPr>
            <a:r>
              <a:rPr lang="en-US" sz="1100" b="0" u="none" strike="noStrike">
                <a:solidFill>
                  <a:srgbClr val="000000"/>
                </a:solidFill>
                <a:effectLst/>
                <a:uFillTx/>
                <a:latin typeface="Times New Roman"/>
              </a:rPr>
              <a:t>Bias 1</a:t>
            </a:r>
            <a:br/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cxnSp>
        <xdr:nvCxnSpPr>
          <xdr:cNvPr id="5" name="Shape 17"/>
          <xdr:cNvCxnSpPr/>
        </xdr:nvCxnSpPr>
        <xdr:spPr>
          <a:xfrm>
            <a:off x="6325920" y="837720"/>
            <a:ext cx="156960" cy="243720"/>
          </a:xfrm>
          <a:prstGeom prst="straightConnector1">
            <a:avLst/>
          </a:prstGeom>
          <a:ln w="38100">
            <a:solidFill>
              <a:srgbClr val="000000"/>
            </a:solidFill>
            <a:round/>
            <a:tailEnd len="med" type="triangle" w="med"/>
          </a:ln>
        </xdr:spPr>
      </xdr:cxnSp>
      <xdr:cxnSp>
        <xdr:nvCxnSpPr>
          <xdr:cNvPr id="6" name="Shape 19"/>
          <xdr:cNvCxnSpPr/>
        </xdr:nvCxnSpPr>
        <xdr:spPr>
          <a:xfrm>
            <a:off x="4356000" y="1330560"/>
            <a:ext cx="1537920" cy="3960"/>
          </a:xfrm>
          <a:prstGeom prst="straightConnector1">
            <a:avLst/>
          </a:prstGeom>
          <a:ln w="38100">
            <a:solidFill>
              <a:srgbClr val="FF9900"/>
            </a:solidFill>
            <a:round/>
            <a:tailEnd len="med" type="triangle" w="med"/>
          </a:ln>
        </xdr:spPr>
      </xdr:cxnSp>
      <xdr:sp>
        <xdr:nvSpPr>
          <xdr:cNvPr id="7" name="Shape 20"/>
          <xdr:cNvSpPr/>
        </xdr:nvSpPr>
        <xdr:spPr>
          <a:xfrm>
            <a:off x="4622760" y="941400"/>
            <a:ext cx="742680" cy="34560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lIns="90000" tIns="77760" rIns="90000" bIns="77760" anchor="t">
            <a:spAutoFit/>
          </a:bodyPr>
          <a:p>
            <a:pPr algn="ctr">
              <a:lnSpc>
                <a:spcPct val="100000"/>
              </a:lnSpc>
              <a:tabLst>
                <a:tab pos="0" algn="l"/>
              </a:tabLst>
            </a:pPr>
            <a:r>
              <a:rPr lang="en-US" sz="1100" b="0" u="none" strike="noStrike">
                <a:solidFill>
                  <a:srgbClr val="000000"/>
                </a:solidFill>
                <a:effectLst/>
                <a:uFillTx/>
                <a:latin typeface="Times New Roman"/>
              </a:rPr>
              <a:t>Weight 1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4453125" defaultRowHeight="15.7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2" width="15.43"/>
    <col collapsed="false" customWidth="false" hidden="false" outlineLevel="0" max="16384" min="4" style="1" width="9.14"/>
  </cols>
  <sheetData>
    <row r="1" customFormat="false" ht="15.75" hidden="false" customHeight="false" outlineLevel="0" collapsed="false">
      <c r="B1" s="2" t="s">
        <v>0</v>
      </c>
      <c r="C1" s="2" t="s">
        <v>1</v>
      </c>
    </row>
    <row r="2" customFormat="false" ht="15.75" hidden="false" customHeight="false" outlineLevel="0" collapsed="false">
      <c r="B2" s="3" t="s">
        <v>2</v>
      </c>
      <c r="C2" s="3" t="s">
        <v>3</v>
      </c>
    </row>
    <row r="3" customFormat="false" ht="15.75" hidden="false" customHeight="false" outlineLevel="0" collapsed="false">
      <c r="B3" s="4" t="n">
        <v>5</v>
      </c>
      <c r="C3" s="5" t="n">
        <v>2.14</v>
      </c>
    </row>
    <row r="4" customFormat="false" ht="15.75" hidden="false" customHeight="false" outlineLevel="0" collapsed="false">
      <c r="B4" s="4" t="n">
        <v>10</v>
      </c>
      <c r="C4" s="5" t="n">
        <v>3.38</v>
      </c>
    </row>
    <row r="5" customFormat="false" ht="15.75" hidden="false" customHeight="false" outlineLevel="0" collapsed="false">
      <c r="B5" s="4" t="n">
        <v>15</v>
      </c>
      <c r="C5" s="5" t="n">
        <v>3.86</v>
      </c>
    </row>
    <row r="6" customFormat="false" ht="15.75" hidden="false" customHeight="false" outlineLevel="0" collapsed="false">
      <c r="B6" s="4" t="n">
        <v>20</v>
      </c>
      <c r="C6" s="5" t="n">
        <v>4.58</v>
      </c>
    </row>
    <row r="7" customFormat="false" ht="15.75" hidden="false" customHeight="false" outlineLevel="0" collapsed="false">
      <c r="B7" s="4" t="n">
        <v>25</v>
      </c>
      <c r="C7" s="5" t="n">
        <v>8.68333333333333</v>
      </c>
    </row>
    <row r="8" customFormat="false" ht="15.75" hidden="false" customHeight="false" outlineLevel="0" collapsed="false">
      <c r="B8" s="4" t="n">
        <v>30</v>
      </c>
      <c r="C8" s="5" t="n">
        <v>8.96</v>
      </c>
    </row>
    <row r="9" customFormat="false" ht="15.75" hidden="false" customHeight="false" outlineLevel="0" collapsed="false">
      <c r="B9" s="4" t="n">
        <v>35</v>
      </c>
      <c r="C9" s="5" t="n">
        <v>10.0566666666667</v>
      </c>
    </row>
    <row r="10" customFormat="false" ht="15.75" hidden="false" customHeight="false" outlineLevel="0" collapsed="false">
      <c r="B10" s="4" t="n">
        <v>40</v>
      </c>
      <c r="C10" s="5" t="n">
        <v>12.9933333333333</v>
      </c>
    </row>
    <row r="11" customFormat="false" ht="15.75" hidden="false" customHeight="false" outlineLevel="0" collapsed="false">
      <c r="B11" s="4" t="n">
        <v>45</v>
      </c>
      <c r="C11" s="5" t="n">
        <v>14.43</v>
      </c>
    </row>
    <row r="12" customFormat="false" ht="15.75" hidden="false" customHeight="false" outlineLevel="0" collapsed="false">
      <c r="B12" s="4" t="n">
        <v>50</v>
      </c>
      <c r="C12" s="5" t="n">
        <v>14.3666666666667</v>
      </c>
    </row>
    <row r="23" customFormat="false" ht="15.75" hidden="false" customHeight="false" outlineLevel="0" collapsed="false">
      <c r="B23" s="2" t="s">
        <v>4</v>
      </c>
    </row>
    <row r="25" customFormat="false" ht="15.75" hidden="false" customHeight="false" outlineLevel="0" collapsed="false">
      <c r="B25" s="2" t="s">
        <v>4</v>
      </c>
    </row>
    <row r="26" customFormat="false" ht="15.75" hidden="false" customHeight="false" outlineLevel="0" collapsed="false">
      <c r="B26" s="2" t="s">
        <v>4</v>
      </c>
    </row>
    <row r="28" customFormat="false" ht="15.75" hidden="false" customHeight="false" outlineLevel="0" collapsed="false">
      <c r="B28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8"/>
  <sheetViews>
    <sheetView showFormulas="false" showGridLines="true" showRowColHeaders="true" showZeros="true" rightToLeft="false" tabSelected="true" showOutlineSymbols="true" defaultGridColor="true" view="normal" topLeftCell="A274" colorId="64" zoomScale="100" zoomScaleNormal="100" zoomScalePageLayoutView="100" workbookViewId="0">
      <selection pane="topLeft" activeCell="A346" activeCellId="0" sqref="A34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6" width="9.3"/>
    <col collapsed="false" customWidth="true" hidden="false" outlineLevel="0" max="2" min="2" style="6" width="12.86"/>
    <col collapsed="false" customWidth="true" hidden="false" outlineLevel="0" max="5" min="3" style="6" width="13"/>
    <col collapsed="false" customWidth="true" hidden="false" outlineLevel="0" max="6" min="6" style="6" width="9.3"/>
    <col collapsed="false" customWidth="true" hidden="false" outlineLevel="0" max="7" min="7" style="6" width="20.43"/>
    <col collapsed="false" customWidth="true" hidden="false" outlineLevel="0" max="8" min="8" style="6" width="12.72"/>
    <col collapsed="false" customWidth="true" hidden="false" outlineLevel="0" max="9" min="9" style="6" width="20.14"/>
    <col collapsed="false" customWidth="true" hidden="false" outlineLevel="0" max="11" min="10" style="6" width="16.29"/>
    <col collapsed="false" customWidth="true" hidden="false" outlineLevel="0" max="13" min="12" style="6" width="9.3"/>
  </cols>
  <sheetData>
    <row r="1" customFormat="false" ht="15" hidden="false" customHeight="false" outlineLevel="0" collapsed="false">
      <c r="B1" s="7" t="s">
        <v>5</v>
      </c>
      <c r="C1" s="7"/>
      <c r="D1" s="1"/>
      <c r="E1" s="1"/>
    </row>
    <row r="2" customFormat="false" ht="15" hidden="false" customHeight="false" outlineLevel="0" collapsed="false">
      <c r="B2" s="8" t="s">
        <v>2</v>
      </c>
      <c r="C2" s="9" t="s">
        <v>3</v>
      </c>
      <c r="D2" s="10"/>
      <c r="E2" s="10"/>
    </row>
    <row r="3" customFormat="false" ht="15" hidden="false" customHeight="false" outlineLevel="0" collapsed="false">
      <c r="B3" s="11" t="n">
        <v>5</v>
      </c>
      <c r="C3" s="12" t="n">
        <v>2.14</v>
      </c>
      <c r="D3" s="1"/>
      <c r="E3" s="13"/>
      <c r="I3" s="14" t="s">
        <v>6</v>
      </c>
      <c r="J3" s="14"/>
    </row>
    <row r="4" customFormat="false" ht="15" hidden="false" customHeight="false" outlineLevel="0" collapsed="false">
      <c r="B4" s="15" t="n">
        <v>10</v>
      </c>
      <c r="C4" s="16" t="n">
        <v>3.38</v>
      </c>
      <c r="D4" s="1"/>
      <c r="E4" s="1"/>
      <c r="I4" s="17" t="s">
        <v>2</v>
      </c>
      <c r="J4" s="18" t="s">
        <v>3</v>
      </c>
    </row>
    <row r="5" customFormat="false" ht="15" hidden="false" customHeight="false" outlineLevel="0" collapsed="false">
      <c r="B5" s="15" t="n">
        <v>15</v>
      </c>
      <c r="C5" s="16" t="n">
        <v>3.86</v>
      </c>
      <c r="D5" s="1"/>
      <c r="E5" s="1"/>
      <c r="I5" s="19"/>
      <c r="J5" s="20" t="n">
        <f aca="false">$A$348+$B$348*I5</f>
        <v>0</v>
      </c>
    </row>
    <row r="6" customFormat="false" ht="15" hidden="false" customHeight="false" outlineLevel="0" collapsed="false">
      <c r="B6" s="15" t="n">
        <v>20</v>
      </c>
      <c r="C6" s="16" t="n">
        <v>4.58</v>
      </c>
      <c r="D6" s="1"/>
      <c r="E6" s="1"/>
      <c r="I6" s="19"/>
      <c r="J6" s="20" t="n">
        <f aca="false">$A$348+$B$348*I6</f>
        <v>0</v>
      </c>
    </row>
    <row r="7" customFormat="false" ht="15" hidden="false" customHeight="false" outlineLevel="0" collapsed="false">
      <c r="B7" s="15" t="n">
        <v>25</v>
      </c>
      <c r="C7" s="16" t="n">
        <v>8.68333333333333</v>
      </c>
      <c r="D7" s="1"/>
      <c r="E7" s="1"/>
      <c r="J7" s="4"/>
      <c r="K7" s="5"/>
    </row>
    <row r="8" customFormat="false" ht="15" hidden="false" customHeight="false" outlineLevel="0" collapsed="false">
      <c r="B8" s="15" t="n">
        <v>30</v>
      </c>
      <c r="C8" s="16" t="n">
        <v>8.96</v>
      </c>
      <c r="D8" s="1"/>
      <c r="E8" s="1"/>
      <c r="J8" s="4"/>
      <c r="K8" s="5"/>
    </row>
    <row r="9" customFormat="false" ht="15" hidden="false" customHeight="false" outlineLevel="0" collapsed="false">
      <c r="B9" s="15" t="n">
        <v>35</v>
      </c>
      <c r="C9" s="16" t="n">
        <v>10.0566666666667</v>
      </c>
      <c r="D9" s="1"/>
      <c r="E9" s="1"/>
      <c r="J9" s="4"/>
      <c r="K9" s="5"/>
    </row>
    <row r="10" customFormat="false" ht="15" hidden="false" customHeight="false" outlineLevel="0" collapsed="false">
      <c r="B10" s="15" t="n">
        <v>40</v>
      </c>
      <c r="C10" s="16" t="n">
        <v>12.9933333333333</v>
      </c>
      <c r="D10" s="1"/>
      <c r="E10" s="1"/>
      <c r="J10" s="4"/>
      <c r="K10" s="5"/>
    </row>
    <row r="11" customFormat="false" ht="15" hidden="false" customHeight="false" outlineLevel="0" collapsed="false">
      <c r="B11" s="15" t="n">
        <v>45</v>
      </c>
      <c r="C11" s="16" t="n">
        <v>14.43</v>
      </c>
      <c r="D11" s="1"/>
      <c r="E11" s="1"/>
      <c r="J11" s="4"/>
      <c r="K11" s="5"/>
    </row>
    <row r="12" customFormat="false" ht="15" hidden="false" customHeight="false" outlineLevel="0" collapsed="false">
      <c r="B12" s="21" t="n">
        <v>50</v>
      </c>
      <c r="C12" s="22" t="n">
        <v>14.3666666666667</v>
      </c>
      <c r="D12" s="1"/>
      <c r="E12" s="1"/>
      <c r="J12" s="4"/>
      <c r="K12" s="5"/>
    </row>
    <row r="13" customFormat="false" ht="15" hidden="false" customHeight="false" outlineLevel="0" collapsed="false">
      <c r="B13" s="23"/>
      <c r="C13" s="24"/>
    </row>
    <row r="14" s="1" customFormat="true" ht="15" hidden="false" customHeight="false" outlineLevel="0" collapsed="false">
      <c r="A14" s="25" t="s">
        <v>7</v>
      </c>
      <c r="B14" s="25"/>
      <c r="C14" s="26"/>
    </row>
    <row r="15" s="1" customFormat="true" ht="15" hidden="false" customHeight="false" outlineLevel="0" collapsed="false">
      <c r="F15" s="27"/>
    </row>
    <row r="16" s="1" customFormat="true" ht="15" hidden="false" customHeight="false" outlineLevel="0" collapsed="false">
      <c r="A16" s="3" t="s">
        <v>8</v>
      </c>
      <c r="B16" s="28" t="s">
        <v>9</v>
      </c>
      <c r="D16" s="3" t="s">
        <v>10</v>
      </c>
      <c r="E16" s="29" t="s">
        <v>11</v>
      </c>
      <c r="F16" s="3" t="s">
        <v>12</v>
      </c>
      <c r="G16" s="3" t="s">
        <v>13</v>
      </c>
      <c r="H16" s="30"/>
      <c r="J16" s="31" t="s">
        <v>14</v>
      </c>
      <c r="K16" s="31"/>
      <c r="L16" s="32" t="s">
        <v>15</v>
      </c>
      <c r="M16" s="32"/>
    </row>
    <row r="17" s="1" customFormat="true" ht="15" hidden="false" customHeight="false" outlineLevel="0" collapsed="false">
      <c r="A17" s="33" t="s">
        <v>16</v>
      </c>
      <c r="B17" s="33" t="s">
        <v>17</v>
      </c>
      <c r="C17" s="33"/>
      <c r="D17" s="33" t="s">
        <v>18</v>
      </c>
      <c r="E17" s="33" t="s">
        <v>19</v>
      </c>
      <c r="F17" s="33" t="s">
        <v>20</v>
      </c>
      <c r="G17" s="33" t="s">
        <v>21</v>
      </c>
      <c r="H17" s="34" t="s">
        <v>22</v>
      </c>
      <c r="I17" s="35" t="s">
        <v>23</v>
      </c>
      <c r="J17" s="34" t="s">
        <v>24</v>
      </c>
      <c r="K17" s="35" t="s">
        <v>25</v>
      </c>
      <c r="L17" s="36" t="s">
        <v>24</v>
      </c>
      <c r="M17" s="35" t="s">
        <v>25</v>
      </c>
      <c r="O17" s="3"/>
    </row>
    <row r="18" s="1" customFormat="true" ht="15" hidden="false" customHeight="false" outlineLevel="0" collapsed="false">
      <c r="A18" s="3"/>
      <c r="B18" s="3"/>
      <c r="C18" s="3"/>
      <c r="D18" s="4"/>
      <c r="E18" s="2"/>
      <c r="F18" s="2"/>
      <c r="G18" s="37"/>
      <c r="H18" s="38"/>
      <c r="I18" s="2"/>
      <c r="J18" s="39"/>
      <c r="K18" s="2"/>
      <c r="L18" s="39"/>
      <c r="M18" s="2"/>
    </row>
    <row r="19" s="1" customFormat="true" ht="15" hidden="false" customHeight="false" outlineLevel="0" collapsed="false">
      <c r="A19" s="3"/>
      <c r="B19" s="3"/>
      <c r="C19" s="3"/>
      <c r="D19" s="4"/>
      <c r="E19" s="2"/>
      <c r="F19" s="2"/>
      <c r="G19" s="37"/>
      <c r="H19" s="38"/>
      <c r="I19" s="2"/>
      <c r="J19" s="39"/>
      <c r="K19" s="2"/>
      <c r="L19" s="39"/>
      <c r="M19" s="2"/>
    </row>
    <row r="20" s="1" customFormat="true" ht="15" hidden="false" customHeight="false" outlineLevel="0" collapsed="false">
      <c r="A20" s="3"/>
      <c r="B20" s="3"/>
      <c r="C20" s="3"/>
      <c r="D20" s="4"/>
      <c r="E20" s="2"/>
      <c r="F20" s="2"/>
      <c r="G20" s="37"/>
      <c r="H20" s="38"/>
      <c r="I20" s="2"/>
      <c r="J20" s="39"/>
      <c r="K20" s="2"/>
      <c r="L20" s="39"/>
      <c r="M20" s="2"/>
    </row>
    <row r="21" s="1" customFormat="true" ht="15" hidden="false" customHeight="false" outlineLevel="0" collapsed="false">
      <c r="A21" s="3"/>
      <c r="B21" s="3"/>
      <c r="C21" s="3"/>
      <c r="D21" s="4"/>
      <c r="E21" s="2"/>
      <c r="F21" s="2"/>
      <c r="G21" s="37"/>
      <c r="H21" s="38"/>
      <c r="I21" s="2"/>
      <c r="J21" s="39"/>
      <c r="K21" s="2"/>
      <c r="L21" s="39"/>
      <c r="M21" s="2"/>
    </row>
    <row r="22" s="1" customFormat="true" ht="15" hidden="false" customHeight="false" outlineLevel="0" collapsed="false">
      <c r="A22" s="3"/>
      <c r="B22" s="3"/>
      <c r="C22" s="3"/>
      <c r="D22" s="4"/>
      <c r="E22" s="2"/>
      <c r="F22" s="2"/>
      <c r="G22" s="37"/>
      <c r="H22" s="38"/>
      <c r="I22" s="2"/>
      <c r="J22" s="39"/>
      <c r="K22" s="2"/>
      <c r="L22" s="39"/>
      <c r="M22" s="2"/>
    </row>
    <row r="23" s="1" customFormat="true" ht="15" hidden="false" customHeight="false" outlineLevel="0" collapsed="false">
      <c r="A23" s="3"/>
      <c r="B23" s="3"/>
      <c r="C23" s="3"/>
      <c r="D23" s="4"/>
      <c r="E23" s="2"/>
      <c r="F23" s="2"/>
      <c r="G23" s="37"/>
      <c r="H23" s="38"/>
      <c r="I23" s="2"/>
      <c r="J23" s="39"/>
      <c r="K23" s="2"/>
      <c r="L23" s="39"/>
      <c r="M23" s="2"/>
    </row>
    <row r="24" s="1" customFormat="true" ht="15" hidden="false" customHeight="false" outlineLevel="0" collapsed="false">
      <c r="A24" s="3"/>
      <c r="B24" s="3"/>
      <c r="C24" s="3"/>
      <c r="D24" s="4"/>
      <c r="E24" s="2"/>
      <c r="F24" s="2"/>
      <c r="G24" s="37"/>
      <c r="H24" s="38"/>
      <c r="I24" s="2"/>
      <c r="J24" s="39"/>
      <c r="K24" s="2"/>
      <c r="L24" s="39"/>
      <c r="M24" s="2"/>
    </row>
    <row r="25" s="1" customFormat="true" ht="15" hidden="false" customHeight="false" outlineLevel="0" collapsed="false">
      <c r="A25" s="3"/>
      <c r="B25" s="3"/>
      <c r="C25" s="3"/>
      <c r="D25" s="4"/>
      <c r="E25" s="2"/>
      <c r="F25" s="2"/>
      <c r="G25" s="37"/>
      <c r="H25" s="38"/>
      <c r="I25" s="2"/>
      <c r="J25" s="39"/>
      <c r="K25" s="2"/>
      <c r="L25" s="39"/>
      <c r="M25" s="2"/>
    </row>
    <row r="26" s="1" customFormat="true" ht="15" hidden="false" customHeight="false" outlineLevel="0" collapsed="false">
      <c r="A26" s="3"/>
      <c r="B26" s="3"/>
      <c r="C26" s="3"/>
      <c r="D26" s="4"/>
      <c r="E26" s="2"/>
      <c r="F26" s="2"/>
      <c r="G26" s="37"/>
      <c r="H26" s="38"/>
      <c r="I26" s="2"/>
      <c r="J26" s="39"/>
      <c r="K26" s="2"/>
      <c r="L26" s="39"/>
      <c r="M26" s="2"/>
    </row>
    <row r="27" s="1" customFormat="true" ht="15" hidden="false" customHeight="false" outlineLevel="0" collapsed="false">
      <c r="A27" s="40"/>
      <c r="B27" s="40"/>
      <c r="D27" s="4"/>
      <c r="E27" s="2"/>
      <c r="F27" s="2"/>
      <c r="G27" s="37"/>
      <c r="H27" s="38"/>
      <c r="I27" s="2"/>
      <c r="J27" s="39"/>
      <c r="K27" s="2"/>
      <c r="L27" s="39"/>
      <c r="M27" s="2"/>
    </row>
    <row r="28" s="1" customFormat="true" ht="15.75" hidden="false" customHeight="true" outlineLevel="0" collapsed="false">
      <c r="G28" s="41"/>
      <c r="H28" s="30"/>
      <c r="L28" s="42"/>
      <c r="M28" s="42"/>
    </row>
    <row r="30" customFormat="false" ht="15" hidden="false" customHeight="false" outlineLevel="0" collapsed="false">
      <c r="A30" s="43" t="s">
        <v>26</v>
      </c>
    </row>
    <row r="31" customFormat="false" ht="15" hidden="false" customHeight="false" outlineLevel="0" collapsed="false">
      <c r="A31" s="3" t="s">
        <v>8</v>
      </c>
      <c r="B31" s="28" t="s">
        <v>9</v>
      </c>
      <c r="C31" s="1"/>
      <c r="D31" s="3" t="s">
        <v>10</v>
      </c>
      <c r="E31" s="29" t="s">
        <v>11</v>
      </c>
      <c r="F31" s="3" t="s">
        <v>12</v>
      </c>
      <c r="G31" s="3" t="s">
        <v>13</v>
      </c>
      <c r="H31" s="30"/>
      <c r="I31" s="1"/>
      <c r="J31" s="31" t="s">
        <v>14</v>
      </c>
      <c r="K31" s="31"/>
      <c r="L31" s="32" t="s">
        <v>15</v>
      </c>
      <c r="M31" s="32"/>
    </row>
    <row r="32" customFormat="false" ht="15" hidden="false" customHeight="false" outlineLevel="0" collapsed="false">
      <c r="A32" s="33" t="s">
        <v>16</v>
      </c>
      <c r="B32" s="33" t="s">
        <v>17</v>
      </c>
      <c r="C32" s="33"/>
      <c r="D32" s="33" t="s">
        <v>18</v>
      </c>
      <c r="E32" s="33" t="s">
        <v>19</v>
      </c>
      <c r="F32" s="33" t="s">
        <v>20</v>
      </c>
      <c r="G32" s="33" t="s">
        <v>21</v>
      </c>
      <c r="H32" s="34" t="s">
        <v>22</v>
      </c>
      <c r="I32" s="35" t="s">
        <v>23</v>
      </c>
      <c r="J32" s="34" t="s">
        <v>24</v>
      </c>
      <c r="K32" s="35" t="s">
        <v>25</v>
      </c>
      <c r="L32" s="36" t="s">
        <v>24</v>
      </c>
      <c r="M32" s="35" t="s">
        <v>25</v>
      </c>
    </row>
    <row r="33" customFormat="false" ht="15" hidden="false" customHeight="false" outlineLevel="0" collapsed="false">
      <c r="A33" s="3"/>
      <c r="B33" s="3"/>
      <c r="C33" s="3"/>
      <c r="D33" s="4" t="n">
        <v>5</v>
      </c>
      <c r="E33" s="2" t="n">
        <f aca="false">$A$33+$B$33*D33</f>
        <v>0</v>
      </c>
      <c r="F33" s="2" t="n">
        <f aca="false">E33</f>
        <v>0</v>
      </c>
      <c r="G33" s="37" t="n">
        <f aca="false">($C$3-E33)^2</f>
        <v>4.5796</v>
      </c>
      <c r="H33" s="38" t="n">
        <f aca="false">2*(E33-$C$3)</f>
        <v>-4.28</v>
      </c>
      <c r="I33" s="2" t="n">
        <f aca="false">EXP(E33)/(1 + EXP(E33))^2</f>
        <v>0.25</v>
      </c>
      <c r="J33" s="39" t="n">
        <v>1</v>
      </c>
      <c r="K33" s="2" t="n">
        <f aca="false">D33</f>
        <v>5</v>
      </c>
      <c r="L33" s="39" t="n">
        <f aca="false">-1*$C$14*H33*I33*J33</f>
        <v>0</v>
      </c>
      <c r="M33" s="2" t="n">
        <f aca="false">-1*$C$14*H33*I33*K33</f>
        <v>0</v>
      </c>
    </row>
    <row r="34" customFormat="false" ht="15" hidden="false" customHeight="false" outlineLevel="0" collapsed="false">
      <c r="A34" s="3"/>
      <c r="B34" s="3"/>
      <c r="C34" s="3"/>
      <c r="D34" s="4" t="n">
        <v>10</v>
      </c>
      <c r="E34" s="2" t="n">
        <f aca="false">$A$33+$B$33*D34</f>
        <v>0</v>
      </c>
      <c r="F34" s="2" t="n">
        <f aca="false">E34</f>
        <v>0</v>
      </c>
      <c r="G34" s="37" t="n">
        <f aca="false">($C$4-E34)^2</f>
        <v>11.4244</v>
      </c>
      <c r="H34" s="38" t="n">
        <f aca="false">2*(E34-$C$4)</f>
        <v>-6.76</v>
      </c>
      <c r="I34" s="2" t="n">
        <f aca="false">EXP(E34)/(1 + EXP(E34))^2</f>
        <v>0.25</v>
      </c>
      <c r="J34" s="39" t="n">
        <v>1</v>
      </c>
      <c r="K34" s="2" t="n">
        <f aca="false">D34</f>
        <v>10</v>
      </c>
      <c r="L34" s="39" t="n">
        <f aca="false">-1*$C$14*H34*I34*J34</f>
        <v>0</v>
      </c>
      <c r="M34" s="2" t="n">
        <f aca="false">-1*$C$14*H34*I34*K34</f>
        <v>0</v>
      </c>
    </row>
    <row r="35" customFormat="false" ht="15" hidden="false" customHeight="false" outlineLevel="0" collapsed="false">
      <c r="A35" s="3"/>
      <c r="B35" s="3"/>
      <c r="C35" s="3"/>
      <c r="D35" s="4" t="n">
        <v>15</v>
      </c>
      <c r="E35" s="2" t="n">
        <f aca="false">$A$33+$B$33*D35</f>
        <v>0</v>
      </c>
      <c r="F35" s="2" t="n">
        <f aca="false">E35</f>
        <v>0</v>
      </c>
      <c r="G35" s="37" t="n">
        <f aca="false">($C$5-E35)^2</f>
        <v>14.8996</v>
      </c>
      <c r="H35" s="38" t="n">
        <f aca="false">2*(E35-$C$5)</f>
        <v>-7.72</v>
      </c>
      <c r="I35" s="2" t="n">
        <f aca="false">EXP(E35)/(1 + EXP(E35))^2</f>
        <v>0.25</v>
      </c>
      <c r="J35" s="39" t="n">
        <v>1</v>
      </c>
      <c r="K35" s="2" t="n">
        <f aca="false">D35</f>
        <v>15</v>
      </c>
      <c r="L35" s="39" t="n">
        <f aca="false">-1*$C$14*H35*I35*J35</f>
        <v>0</v>
      </c>
      <c r="M35" s="2" t="n">
        <f aca="false">-1*$C$14*H35*I35*K35</f>
        <v>0</v>
      </c>
    </row>
    <row r="36" customFormat="false" ht="15" hidden="false" customHeight="false" outlineLevel="0" collapsed="false">
      <c r="A36" s="3"/>
      <c r="B36" s="3"/>
      <c r="C36" s="3"/>
      <c r="D36" s="4" t="n">
        <v>20</v>
      </c>
      <c r="E36" s="2" t="n">
        <f aca="false">$A$33+$B$33*D36</f>
        <v>0</v>
      </c>
      <c r="F36" s="2" t="n">
        <f aca="false">E36</f>
        <v>0</v>
      </c>
      <c r="G36" s="37" t="n">
        <f aca="false">($C$6-E36)^2</f>
        <v>20.9764</v>
      </c>
      <c r="H36" s="38" t="n">
        <f aca="false">2*(E36-$C$6)</f>
        <v>-9.16</v>
      </c>
      <c r="I36" s="2" t="n">
        <f aca="false">EXP(E36)/(1 + EXP(E36))^2</f>
        <v>0.25</v>
      </c>
      <c r="J36" s="39" t="n">
        <v>1</v>
      </c>
      <c r="K36" s="2" t="n">
        <f aca="false">D36</f>
        <v>20</v>
      </c>
      <c r="L36" s="39" t="n">
        <f aca="false">-1*$C$14*H36*I36*J36</f>
        <v>0</v>
      </c>
      <c r="M36" s="2" t="n">
        <f aca="false">-1*$C$14*H36*I36*K36</f>
        <v>0</v>
      </c>
    </row>
    <row r="37" customFormat="false" ht="15" hidden="false" customHeight="false" outlineLevel="0" collapsed="false">
      <c r="A37" s="3"/>
      <c r="B37" s="3"/>
      <c r="C37" s="3"/>
      <c r="D37" s="4" t="n">
        <v>25</v>
      </c>
      <c r="E37" s="2" t="n">
        <f aca="false">$A$33+$B$33*D37</f>
        <v>0</v>
      </c>
      <c r="F37" s="2" t="n">
        <f aca="false">E37</f>
        <v>0</v>
      </c>
      <c r="G37" s="37" t="n">
        <f aca="false">($C$7-E37)^2</f>
        <v>75.4002777777778</v>
      </c>
      <c r="H37" s="38" t="n">
        <f aca="false">2*(E37-$C$7)</f>
        <v>-17.3666666666667</v>
      </c>
      <c r="I37" s="2" t="n">
        <f aca="false">EXP(E37)/(1 + EXP(E37))^2</f>
        <v>0.25</v>
      </c>
      <c r="J37" s="39" t="n">
        <v>1</v>
      </c>
      <c r="K37" s="2" t="n">
        <f aca="false">D37</f>
        <v>25</v>
      </c>
      <c r="L37" s="39" t="n">
        <f aca="false">-1*$C$14*H37*I37*J37</f>
        <v>0</v>
      </c>
      <c r="M37" s="2" t="n">
        <f aca="false">-1*$C$14*H37*I37*K37</f>
        <v>0</v>
      </c>
    </row>
    <row r="38" customFormat="false" ht="15" hidden="false" customHeight="false" outlineLevel="0" collapsed="false">
      <c r="A38" s="3"/>
      <c r="B38" s="3"/>
      <c r="C38" s="3"/>
      <c r="D38" s="4" t="n">
        <v>30</v>
      </c>
      <c r="E38" s="2" t="n">
        <f aca="false">$A$33+$B$33*D38</f>
        <v>0</v>
      </c>
      <c r="F38" s="2" t="n">
        <f aca="false">E38</f>
        <v>0</v>
      </c>
      <c r="G38" s="37" t="n">
        <f aca="false">($C$8-E38)^2</f>
        <v>80.2816</v>
      </c>
      <c r="H38" s="38" t="n">
        <f aca="false">2*(E38-$C$8)</f>
        <v>-17.92</v>
      </c>
      <c r="I38" s="2" t="n">
        <f aca="false">EXP(E38)/(1 + EXP(E38))^2</f>
        <v>0.25</v>
      </c>
      <c r="J38" s="39" t="n">
        <v>1</v>
      </c>
      <c r="K38" s="2" t="n">
        <f aca="false">D38</f>
        <v>30</v>
      </c>
      <c r="L38" s="39" t="n">
        <f aca="false">-1*$C$14*H38*I38*J38</f>
        <v>0</v>
      </c>
      <c r="M38" s="2" t="n">
        <f aca="false">-1*$C$14*H38*I38*K38</f>
        <v>0</v>
      </c>
    </row>
    <row r="39" customFormat="false" ht="15" hidden="false" customHeight="false" outlineLevel="0" collapsed="false">
      <c r="A39" s="3"/>
      <c r="B39" s="3"/>
      <c r="C39" s="3"/>
      <c r="D39" s="4" t="n">
        <v>35</v>
      </c>
      <c r="E39" s="2" t="n">
        <f aca="false">$A$33+$B$33*D39</f>
        <v>0</v>
      </c>
      <c r="F39" s="2" t="n">
        <f aca="false">E39</f>
        <v>0</v>
      </c>
      <c r="G39" s="37" t="n">
        <f aca="false">($C$9-E39)^2</f>
        <v>101.136544444444</v>
      </c>
      <c r="H39" s="38" t="n">
        <f aca="false">2*(E39-$C$9)</f>
        <v>-20.1133333333333</v>
      </c>
      <c r="I39" s="2" t="n">
        <f aca="false">EXP(E39)/(1 + EXP(E39))^2</f>
        <v>0.25</v>
      </c>
      <c r="J39" s="39" t="n">
        <v>1</v>
      </c>
      <c r="K39" s="2" t="n">
        <f aca="false">D39</f>
        <v>35</v>
      </c>
      <c r="L39" s="39" t="n">
        <f aca="false">-1*$C$14*H39*I39*J39</f>
        <v>0</v>
      </c>
      <c r="M39" s="2" t="n">
        <f aca="false">-1*$C$14*H39*I39*K39</f>
        <v>0</v>
      </c>
    </row>
    <row r="40" customFormat="false" ht="15" hidden="false" customHeight="false" outlineLevel="0" collapsed="false">
      <c r="A40" s="3"/>
      <c r="B40" s="3"/>
      <c r="C40" s="3"/>
      <c r="D40" s="4" t="n">
        <v>40</v>
      </c>
      <c r="E40" s="2" t="n">
        <f aca="false">$A$33+$B$33*D40</f>
        <v>0</v>
      </c>
      <c r="F40" s="2" t="n">
        <f aca="false">E40</f>
        <v>0</v>
      </c>
      <c r="G40" s="37" t="n">
        <f aca="false">($C$10-E40)^2</f>
        <v>168.826711111111</v>
      </c>
      <c r="H40" s="38" t="n">
        <f aca="false">2*(E40-$C$10)</f>
        <v>-25.9866666666667</v>
      </c>
      <c r="I40" s="2" t="n">
        <f aca="false">EXP(E40)/(1 + EXP(E40))^2</f>
        <v>0.25</v>
      </c>
      <c r="J40" s="39" t="n">
        <v>1</v>
      </c>
      <c r="K40" s="2" t="n">
        <f aca="false">D40</f>
        <v>40</v>
      </c>
      <c r="L40" s="39" t="n">
        <f aca="false">-1*$C$14*H40*I40*J40</f>
        <v>0</v>
      </c>
      <c r="M40" s="2" t="n">
        <f aca="false">-1*$C$14*H40*I40*K40</f>
        <v>0</v>
      </c>
    </row>
    <row r="41" customFormat="false" ht="15" hidden="false" customHeight="false" outlineLevel="0" collapsed="false">
      <c r="A41" s="3"/>
      <c r="B41" s="3"/>
      <c r="C41" s="3"/>
      <c r="D41" s="4" t="n">
        <v>45</v>
      </c>
      <c r="E41" s="2" t="n">
        <f aca="false">$A$33+$B$33*D41</f>
        <v>0</v>
      </c>
      <c r="F41" s="2" t="n">
        <f aca="false">E41</f>
        <v>0</v>
      </c>
      <c r="G41" s="37" t="n">
        <f aca="false">($C$11-E41)^2</f>
        <v>208.2249</v>
      </c>
      <c r="H41" s="38" t="n">
        <f aca="false">2*(E41-$C$11)</f>
        <v>-28.86</v>
      </c>
      <c r="I41" s="2" t="n">
        <f aca="false">EXP(E41)/(1 + EXP(E41))^2</f>
        <v>0.25</v>
      </c>
      <c r="J41" s="39" t="n">
        <v>1</v>
      </c>
      <c r="K41" s="2" t="n">
        <f aca="false">D41</f>
        <v>45</v>
      </c>
      <c r="L41" s="39" t="n">
        <f aca="false">-1*$C$14*H41*I41*J41</f>
        <v>0</v>
      </c>
      <c r="M41" s="2" t="n">
        <f aca="false">-1*$C$14*H41*I41*K41</f>
        <v>0</v>
      </c>
    </row>
    <row r="42" customFormat="false" ht="15" hidden="false" customHeight="false" outlineLevel="0" collapsed="false">
      <c r="A42" s="40"/>
      <c r="B42" s="40"/>
      <c r="C42" s="1"/>
      <c r="D42" s="4" t="n">
        <v>50</v>
      </c>
      <c r="E42" s="2" t="n">
        <f aca="false">$A$33+$B$33*D42</f>
        <v>0</v>
      </c>
      <c r="F42" s="2" t="n">
        <f aca="false">E42</f>
        <v>0</v>
      </c>
      <c r="G42" s="37" t="n">
        <f aca="false">($C$12-E42)^2</f>
        <v>206.401111111111</v>
      </c>
      <c r="H42" s="38" t="n">
        <f aca="false">2*(E42-$C$12)</f>
        <v>-28.7333333333333</v>
      </c>
      <c r="I42" s="2" t="n">
        <f aca="false">EXP(E42)/(1 + EXP(E42))^2</f>
        <v>0.25</v>
      </c>
      <c r="J42" s="39" t="n">
        <v>1</v>
      </c>
      <c r="K42" s="2" t="n">
        <f aca="false">D42</f>
        <v>50</v>
      </c>
      <c r="L42" s="39" t="n">
        <f aca="false">-1*$C$14*H42*I42*J42</f>
        <v>0</v>
      </c>
      <c r="M42" s="2" t="n">
        <f aca="false">-1*$C$14*H42*I42*K42</f>
        <v>0</v>
      </c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41" t="n">
        <f aca="false">SUM(G33:G42)</f>
        <v>892.151144444445</v>
      </c>
      <c r="H43" s="30"/>
      <c r="I43" s="1"/>
      <c r="J43" s="1"/>
      <c r="K43" s="1"/>
      <c r="L43" s="42" t="n">
        <f aca="false">AVERAGE(L33:L42)</f>
        <v>0</v>
      </c>
      <c r="M43" s="42" t="n">
        <f aca="false">AVERAGE(M33:M42)</f>
        <v>0</v>
      </c>
    </row>
    <row r="45" customFormat="false" ht="15" hidden="false" customHeight="false" outlineLevel="0" collapsed="false">
      <c r="A45" s="43" t="s">
        <v>27</v>
      </c>
    </row>
    <row r="46" customFormat="false" ht="15" hidden="false" customHeight="false" outlineLevel="0" collapsed="false">
      <c r="A46" s="3" t="s">
        <v>8</v>
      </c>
      <c r="B46" s="28" t="s">
        <v>9</v>
      </c>
      <c r="C46" s="1"/>
      <c r="D46" s="3" t="s">
        <v>10</v>
      </c>
      <c r="E46" s="29" t="s">
        <v>11</v>
      </c>
      <c r="F46" s="3" t="s">
        <v>12</v>
      </c>
      <c r="G46" s="3" t="s">
        <v>13</v>
      </c>
      <c r="H46" s="30"/>
      <c r="I46" s="1"/>
      <c r="J46" s="31" t="s">
        <v>14</v>
      </c>
      <c r="K46" s="31"/>
      <c r="L46" s="32" t="s">
        <v>15</v>
      </c>
      <c r="M46" s="32"/>
    </row>
    <row r="47" customFormat="false" ht="15" hidden="false" customHeight="false" outlineLevel="0" collapsed="false">
      <c r="A47" s="33" t="s">
        <v>16</v>
      </c>
      <c r="B47" s="33" t="s">
        <v>17</v>
      </c>
      <c r="C47" s="33"/>
      <c r="D47" s="33" t="s">
        <v>18</v>
      </c>
      <c r="E47" s="33" t="s">
        <v>19</v>
      </c>
      <c r="F47" s="33" t="s">
        <v>20</v>
      </c>
      <c r="G47" s="33" t="s">
        <v>21</v>
      </c>
      <c r="H47" s="34" t="s">
        <v>22</v>
      </c>
      <c r="I47" s="35" t="s">
        <v>23</v>
      </c>
      <c r="J47" s="34" t="s">
        <v>24</v>
      </c>
      <c r="K47" s="35" t="s">
        <v>25</v>
      </c>
      <c r="L47" s="36" t="s">
        <v>24</v>
      </c>
      <c r="M47" s="35" t="s">
        <v>25</v>
      </c>
    </row>
    <row r="48" customFormat="false" ht="15" hidden="false" customHeight="false" outlineLevel="0" collapsed="false">
      <c r="A48" s="3" t="n">
        <f aca="false">A33+L43</f>
        <v>0</v>
      </c>
      <c r="B48" s="3" t="n">
        <f aca="false">B33+M43</f>
        <v>0</v>
      </c>
      <c r="C48" s="3"/>
      <c r="D48" s="4" t="n">
        <v>5</v>
      </c>
      <c r="E48" s="2" t="n">
        <f aca="false">$A$48+$B$48*D48</f>
        <v>0</v>
      </c>
      <c r="F48" s="2" t="n">
        <f aca="false">E48</f>
        <v>0</v>
      </c>
      <c r="G48" s="37" t="n">
        <f aca="false">($C$3-E48)^2</f>
        <v>4.5796</v>
      </c>
      <c r="H48" s="38" t="n">
        <f aca="false">2*(E48-$C$3)</f>
        <v>-4.28</v>
      </c>
      <c r="I48" s="2" t="n">
        <f aca="false">EXP(E48)/(1 + EXP(E48))^2</f>
        <v>0.25</v>
      </c>
      <c r="J48" s="39" t="n">
        <v>1</v>
      </c>
      <c r="K48" s="2" t="n">
        <f aca="false">D48</f>
        <v>5</v>
      </c>
      <c r="L48" s="39" t="n">
        <f aca="false">-1*$C$14*H48*I48*J48</f>
        <v>0</v>
      </c>
      <c r="M48" s="2" t="n">
        <f aca="false">-1*$C$14*H48*I48*K48</f>
        <v>0</v>
      </c>
    </row>
    <row r="49" customFormat="false" ht="15" hidden="false" customHeight="false" outlineLevel="0" collapsed="false">
      <c r="A49" s="3"/>
      <c r="B49" s="3"/>
      <c r="C49" s="3"/>
      <c r="D49" s="4" t="n">
        <v>10</v>
      </c>
      <c r="E49" s="2" t="n">
        <f aca="false">$A$48+$B$48*D49</f>
        <v>0</v>
      </c>
      <c r="F49" s="2" t="n">
        <f aca="false">E49</f>
        <v>0</v>
      </c>
      <c r="G49" s="37" t="n">
        <f aca="false">($C$4-E49)^2</f>
        <v>11.4244</v>
      </c>
      <c r="H49" s="38" t="n">
        <f aca="false">2*(E49-$C$4)</f>
        <v>-6.76</v>
      </c>
      <c r="I49" s="2" t="n">
        <f aca="false">EXP(E49)/(1 + EXP(E49))^2</f>
        <v>0.25</v>
      </c>
      <c r="J49" s="39" t="n">
        <v>1</v>
      </c>
      <c r="K49" s="2" t="n">
        <f aca="false">D49</f>
        <v>10</v>
      </c>
      <c r="L49" s="39" t="n">
        <f aca="false">-1*$C$14*H49*I49*J49</f>
        <v>0</v>
      </c>
      <c r="M49" s="2" t="n">
        <f aca="false">-1*$C$14*H49*I49*K49</f>
        <v>0</v>
      </c>
    </row>
    <row r="50" customFormat="false" ht="15" hidden="false" customHeight="false" outlineLevel="0" collapsed="false">
      <c r="A50" s="3"/>
      <c r="B50" s="3"/>
      <c r="C50" s="3"/>
      <c r="D50" s="4" t="n">
        <v>15</v>
      </c>
      <c r="E50" s="2" t="n">
        <f aca="false">$A$48+$B$48*D50</f>
        <v>0</v>
      </c>
      <c r="F50" s="2" t="n">
        <f aca="false">E50</f>
        <v>0</v>
      </c>
      <c r="G50" s="37" t="n">
        <f aca="false">($C$5-E50)^2</f>
        <v>14.8996</v>
      </c>
      <c r="H50" s="38" t="n">
        <f aca="false">2*(E50-$C$5)</f>
        <v>-7.72</v>
      </c>
      <c r="I50" s="2" t="n">
        <f aca="false">EXP(E50)/(1 + EXP(E50))^2</f>
        <v>0.25</v>
      </c>
      <c r="J50" s="39" t="n">
        <v>1</v>
      </c>
      <c r="K50" s="2" t="n">
        <f aca="false">D50</f>
        <v>15</v>
      </c>
      <c r="L50" s="39" t="n">
        <f aca="false">-1*$C$14*H50*I50*J50</f>
        <v>0</v>
      </c>
      <c r="M50" s="2" t="n">
        <f aca="false">-1*$C$14*H50*I50*K50</f>
        <v>0</v>
      </c>
    </row>
    <row r="51" customFormat="false" ht="15" hidden="false" customHeight="false" outlineLevel="0" collapsed="false">
      <c r="A51" s="3"/>
      <c r="B51" s="3"/>
      <c r="C51" s="3"/>
      <c r="D51" s="4" t="n">
        <v>20</v>
      </c>
      <c r="E51" s="2" t="n">
        <f aca="false">$A$48+$B$48*D51</f>
        <v>0</v>
      </c>
      <c r="F51" s="2" t="n">
        <f aca="false">E51</f>
        <v>0</v>
      </c>
      <c r="G51" s="37" t="n">
        <f aca="false">($C$6-E51)^2</f>
        <v>20.9764</v>
      </c>
      <c r="H51" s="38" t="n">
        <f aca="false">2*(E51-$C$6)</f>
        <v>-9.16</v>
      </c>
      <c r="I51" s="2" t="n">
        <f aca="false">EXP(E51)/(1 + EXP(E51))^2</f>
        <v>0.25</v>
      </c>
      <c r="J51" s="39" t="n">
        <v>1</v>
      </c>
      <c r="K51" s="2" t="n">
        <f aca="false">D51</f>
        <v>20</v>
      </c>
      <c r="L51" s="39" t="n">
        <f aca="false">-1*$C$14*H51*I51*J51</f>
        <v>0</v>
      </c>
      <c r="M51" s="2" t="n">
        <f aca="false">-1*$C$14*H51*I51*K51</f>
        <v>0</v>
      </c>
    </row>
    <row r="52" customFormat="false" ht="15" hidden="false" customHeight="false" outlineLevel="0" collapsed="false">
      <c r="A52" s="3"/>
      <c r="B52" s="3"/>
      <c r="C52" s="3"/>
      <c r="D52" s="4" t="n">
        <v>25</v>
      </c>
      <c r="E52" s="2" t="n">
        <f aca="false">$A$48+$B$48*D52</f>
        <v>0</v>
      </c>
      <c r="F52" s="2" t="n">
        <f aca="false">E52</f>
        <v>0</v>
      </c>
      <c r="G52" s="37" t="n">
        <f aca="false">($C$7-E52)^2</f>
        <v>75.4002777777778</v>
      </c>
      <c r="H52" s="38" t="n">
        <f aca="false">2*(E52-$C$7)</f>
        <v>-17.3666666666667</v>
      </c>
      <c r="I52" s="2" t="n">
        <f aca="false">EXP(E52)/(1 + EXP(E52))^2</f>
        <v>0.25</v>
      </c>
      <c r="J52" s="39" t="n">
        <v>1</v>
      </c>
      <c r="K52" s="2" t="n">
        <f aca="false">D52</f>
        <v>25</v>
      </c>
      <c r="L52" s="39" t="n">
        <f aca="false">-1*$C$14*H52*I52*J52</f>
        <v>0</v>
      </c>
      <c r="M52" s="2" t="n">
        <f aca="false">-1*$C$14*H52*I52*K52</f>
        <v>0</v>
      </c>
    </row>
    <row r="53" customFormat="false" ht="15" hidden="false" customHeight="false" outlineLevel="0" collapsed="false">
      <c r="A53" s="3"/>
      <c r="B53" s="3"/>
      <c r="C53" s="3"/>
      <c r="D53" s="4" t="n">
        <v>30</v>
      </c>
      <c r="E53" s="2" t="n">
        <f aca="false">$A$48+$B$48*D53</f>
        <v>0</v>
      </c>
      <c r="F53" s="2" t="n">
        <f aca="false">E53</f>
        <v>0</v>
      </c>
      <c r="G53" s="37" t="n">
        <f aca="false">($C$8-E53)^2</f>
        <v>80.2816</v>
      </c>
      <c r="H53" s="38" t="n">
        <f aca="false">2*(E53-$C$8)</f>
        <v>-17.92</v>
      </c>
      <c r="I53" s="2" t="n">
        <f aca="false">EXP(E53)/(1 + EXP(E53))^2</f>
        <v>0.25</v>
      </c>
      <c r="J53" s="39" t="n">
        <v>1</v>
      </c>
      <c r="K53" s="2" t="n">
        <f aca="false">D53</f>
        <v>30</v>
      </c>
      <c r="L53" s="39" t="n">
        <f aca="false">-1*$C$14*H53*I53*J53</f>
        <v>0</v>
      </c>
      <c r="M53" s="2" t="n">
        <f aca="false">-1*$C$14*H53*I53*K53</f>
        <v>0</v>
      </c>
    </row>
    <row r="54" customFormat="false" ht="15" hidden="false" customHeight="false" outlineLevel="0" collapsed="false">
      <c r="A54" s="3"/>
      <c r="B54" s="3"/>
      <c r="C54" s="3"/>
      <c r="D54" s="4" t="n">
        <v>35</v>
      </c>
      <c r="E54" s="2" t="n">
        <f aca="false">$A$48+$B$48*D54</f>
        <v>0</v>
      </c>
      <c r="F54" s="2" t="n">
        <f aca="false">E54</f>
        <v>0</v>
      </c>
      <c r="G54" s="37" t="n">
        <f aca="false">($C$9-E54)^2</f>
        <v>101.136544444444</v>
      </c>
      <c r="H54" s="38" t="n">
        <f aca="false">2*(E54-$C$9)</f>
        <v>-20.1133333333333</v>
      </c>
      <c r="I54" s="2" t="n">
        <f aca="false">EXP(E54)/(1 + EXP(E54))^2</f>
        <v>0.25</v>
      </c>
      <c r="J54" s="39" t="n">
        <v>1</v>
      </c>
      <c r="K54" s="2" t="n">
        <f aca="false">D54</f>
        <v>35</v>
      </c>
      <c r="L54" s="39" t="n">
        <f aca="false">-1*$C$14*H54*I54*J54</f>
        <v>0</v>
      </c>
      <c r="M54" s="2" t="n">
        <f aca="false">-1*$C$14*H54*I54*K54</f>
        <v>0</v>
      </c>
    </row>
    <row r="55" customFormat="false" ht="15" hidden="false" customHeight="false" outlineLevel="0" collapsed="false">
      <c r="A55" s="3"/>
      <c r="B55" s="3"/>
      <c r="C55" s="3"/>
      <c r="D55" s="4" t="n">
        <v>40</v>
      </c>
      <c r="E55" s="2" t="n">
        <f aca="false">$A$48+$B$48*D55</f>
        <v>0</v>
      </c>
      <c r="F55" s="2" t="n">
        <f aca="false">E55</f>
        <v>0</v>
      </c>
      <c r="G55" s="37" t="n">
        <f aca="false">($C$10-E55)^2</f>
        <v>168.826711111111</v>
      </c>
      <c r="H55" s="38" t="n">
        <f aca="false">2*(E55-$C$10)</f>
        <v>-25.9866666666667</v>
      </c>
      <c r="I55" s="2" t="n">
        <f aca="false">EXP(E55)/(1 + EXP(E55))^2</f>
        <v>0.25</v>
      </c>
      <c r="J55" s="39" t="n">
        <v>1</v>
      </c>
      <c r="K55" s="2" t="n">
        <f aca="false">D55</f>
        <v>40</v>
      </c>
      <c r="L55" s="39" t="n">
        <f aca="false">-1*$C$14*H55*I55*J55</f>
        <v>0</v>
      </c>
      <c r="M55" s="2" t="n">
        <f aca="false">-1*$C$14*H55*I55*K55</f>
        <v>0</v>
      </c>
    </row>
    <row r="56" customFormat="false" ht="15" hidden="false" customHeight="false" outlineLevel="0" collapsed="false">
      <c r="A56" s="3"/>
      <c r="B56" s="3"/>
      <c r="C56" s="3"/>
      <c r="D56" s="4" t="n">
        <v>45</v>
      </c>
      <c r="E56" s="2" t="n">
        <f aca="false">$A$48+$B$48*D56</f>
        <v>0</v>
      </c>
      <c r="F56" s="2" t="n">
        <f aca="false">E56</f>
        <v>0</v>
      </c>
      <c r="G56" s="37" t="n">
        <f aca="false">($C$11-E56)^2</f>
        <v>208.2249</v>
      </c>
      <c r="H56" s="38" t="n">
        <f aca="false">2*(E56-$C$11)</f>
        <v>-28.86</v>
      </c>
      <c r="I56" s="2" t="n">
        <f aca="false">EXP(E56)/(1 + EXP(E56))^2</f>
        <v>0.25</v>
      </c>
      <c r="J56" s="39" t="n">
        <v>1</v>
      </c>
      <c r="K56" s="2" t="n">
        <f aca="false">D56</f>
        <v>45</v>
      </c>
      <c r="L56" s="39" t="n">
        <f aca="false">-1*$C$14*H56*I56*J56</f>
        <v>0</v>
      </c>
      <c r="M56" s="2" t="n">
        <f aca="false">-1*$C$14*H56*I56*K56</f>
        <v>0</v>
      </c>
    </row>
    <row r="57" customFormat="false" ht="15" hidden="false" customHeight="false" outlineLevel="0" collapsed="false">
      <c r="A57" s="40"/>
      <c r="B57" s="40"/>
      <c r="C57" s="1"/>
      <c r="D57" s="4" t="n">
        <v>50</v>
      </c>
      <c r="E57" s="2" t="n">
        <f aca="false">$A$48+$B$48*D57</f>
        <v>0</v>
      </c>
      <c r="F57" s="2" t="n">
        <f aca="false">E57</f>
        <v>0</v>
      </c>
      <c r="G57" s="37" t="n">
        <f aca="false">($C$12-E57)^2</f>
        <v>206.401111111111</v>
      </c>
      <c r="H57" s="38" t="n">
        <f aca="false">2*(E57-$C$12)</f>
        <v>-28.7333333333333</v>
      </c>
      <c r="I57" s="2" t="n">
        <f aca="false">EXP(E57)/(1 + EXP(E57))^2</f>
        <v>0.25</v>
      </c>
      <c r="J57" s="39" t="n">
        <v>1</v>
      </c>
      <c r="K57" s="2" t="n">
        <f aca="false">D57</f>
        <v>50</v>
      </c>
      <c r="L57" s="39" t="n">
        <f aca="false">-1*$C$14*H57*I57*J57</f>
        <v>0</v>
      </c>
      <c r="M57" s="2" t="n">
        <f aca="false">-1*$C$14*H57*I57*K57</f>
        <v>0</v>
      </c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41" t="n">
        <f aca="false">SUM(G48:G57)</f>
        <v>892.151144444445</v>
      </c>
      <c r="H58" s="30"/>
      <c r="I58" s="1"/>
      <c r="J58" s="1"/>
      <c r="K58" s="1"/>
      <c r="L58" s="42" t="n">
        <f aca="false">AVERAGE(L48:L57)</f>
        <v>0</v>
      </c>
      <c r="M58" s="42" t="n">
        <f aca="false">AVERAGE(M48:M57)</f>
        <v>0</v>
      </c>
    </row>
    <row r="60" customFormat="false" ht="15" hidden="false" customHeight="false" outlineLevel="0" collapsed="false">
      <c r="A60" s="43" t="s">
        <v>28</v>
      </c>
    </row>
    <row r="61" customFormat="false" ht="15" hidden="false" customHeight="false" outlineLevel="0" collapsed="false">
      <c r="A61" s="3" t="s">
        <v>8</v>
      </c>
      <c r="B61" s="28" t="s">
        <v>9</v>
      </c>
      <c r="C61" s="1"/>
      <c r="D61" s="3" t="s">
        <v>10</v>
      </c>
      <c r="E61" s="29" t="s">
        <v>11</v>
      </c>
      <c r="F61" s="3" t="s">
        <v>12</v>
      </c>
      <c r="G61" s="3" t="s">
        <v>13</v>
      </c>
      <c r="H61" s="30"/>
      <c r="I61" s="1"/>
      <c r="J61" s="31" t="s">
        <v>14</v>
      </c>
      <c r="K61" s="31"/>
      <c r="L61" s="32" t="s">
        <v>15</v>
      </c>
      <c r="M61" s="32"/>
    </row>
    <row r="62" customFormat="false" ht="15" hidden="false" customHeight="false" outlineLevel="0" collapsed="false">
      <c r="A62" s="33" t="s">
        <v>16</v>
      </c>
      <c r="B62" s="33" t="s">
        <v>17</v>
      </c>
      <c r="C62" s="33"/>
      <c r="D62" s="33" t="s">
        <v>18</v>
      </c>
      <c r="E62" s="33" t="s">
        <v>19</v>
      </c>
      <c r="F62" s="33" t="s">
        <v>20</v>
      </c>
      <c r="G62" s="33" t="s">
        <v>21</v>
      </c>
      <c r="H62" s="34" t="s">
        <v>22</v>
      </c>
      <c r="I62" s="35" t="s">
        <v>23</v>
      </c>
      <c r="J62" s="34" t="s">
        <v>24</v>
      </c>
      <c r="K62" s="35" t="s">
        <v>25</v>
      </c>
      <c r="L62" s="36" t="s">
        <v>24</v>
      </c>
      <c r="M62" s="35" t="s">
        <v>25</v>
      </c>
    </row>
    <row r="63" customFormat="false" ht="15" hidden="false" customHeight="false" outlineLevel="0" collapsed="false">
      <c r="A63" s="3" t="n">
        <f aca="false">A48+L58</f>
        <v>0</v>
      </c>
      <c r="B63" s="3" t="n">
        <f aca="false">B48+M58</f>
        <v>0</v>
      </c>
      <c r="C63" s="3"/>
      <c r="D63" s="4" t="n">
        <v>5</v>
      </c>
      <c r="E63" s="2" t="n">
        <f aca="false">$A$63+$B$63*D63</f>
        <v>0</v>
      </c>
      <c r="F63" s="2" t="n">
        <f aca="false">E63</f>
        <v>0</v>
      </c>
      <c r="G63" s="37" t="n">
        <f aca="false">($C$3-E63)^2</f>
        <v>4.5796</v>
      </c>
      <c r="H63" s="38" t="n">
        <f aca="false">2*(E63-$C$3)</f>
        <v>-4.28</v>
      </c>
      <c r="I63" s="2" t="n">
        <f aca="false">EXP(E63)/(1 + EXP(E63))^2</f>
        <v>0.25</v>
      </c>
      <c r="J63" s="39" t="n">
        <v>1</v>
      </c>
      <c r="K63" s="2" t="n">
        <f aca="false">D63</f>
        <v>5</v>
      </c>
      <c r="L63" s="39" t="n">
        <f aca="false">-1*$C$14*H63*I63*J63</f>
        <v>0</v>
      </c>
      <c r="M63" s="2" t="n">
        <f aca="false">-1*$C$14*H63*I63*K63</f>
        <v>0</v>
      </c>
    </row>
    <row r="64" customFormat="false" ht="15" hidden="false" customHeight="false" outlineLevel="0" collapsed="false">
      <c r="A64" s="3"/>
      <c r="B64" s="3"/>
      <c r="C64" s="3"/>
      <c r="D64" s="4" t="n">
        <v>10</v>
      </c>
      <c r="E64" s="2" t="n">
        <f aca="false">$A$63+$B$63*D64</f>
        <v>0</v>
      </c>
      <c r="F64" s="2" t="n">
        <f aca="false">E64</f>
        <v>0</v>
      </c>
      <c r="G64" s="37" t="n">
        <f aca="false">($C$4-E64)^2</f>
        <v>11.4244</v>
      </c>
      <c r="H64" s="38" t="n">
        <f aca="false">2*(E64-$C$4)</f>
        <v>-6.76</v>
      </c>
      <c r="I64" s="2" t="n">
        <f aca="false">EXP(E64)/(1 + EXP(E64))^2</f>
        <v>0.25</v>
      </c>
      <c r="J64" s="39" t="n">
        <v>1</v>
      </c>
      <c r="K64" s="2" t="n">
        <f aca="false">D64</f>
        <v>10</v>
      </c>
      <c r="L64" s="39" t="n">
        <f aca="false">-1*$C$14*H64*I64*J64</f>
        <v>0</v>
      </c>
      <c r="M64" s="2" t="n">
        <f aca="false">-1*$C$14*H64*I64*K64</f>
        <v>0</v>
      </c>
    </row>
    <row r="65" customFormat="false" ht="15" hidden="false" customHeight="false" outlineLevel="0" collapsed="false">
      <c r="A65" s="3"/>
      <c r="B65" s="3"/>
      <c r="C65" s="3"/>
      <c r="D65" s="4" t="n">
        <v>15</v>
      </c>
      <c r="E65" s="2" t="n">
        <f aca="false">$A$63+$B$63*D65</f>
        <v>0</v>
      </c>
      <c r="F65" s="2" t="n">
        <f aca="false">E65</f>
        <v>0</v>
      </c>
      <c r="G65" s="37" t="n">
        <f aca="false">($C$5-E65)^2</f>
        <v>14.8996</v>
      </c>
      <c r="H65" s="38" t="n">
        <f aca="false">2*(E65-$C$5)</f>
        <v>-7.72</v>
      </c>
      <c r="I65" s="2" t="n">
        <f aca="false">EXP(E65)/(1 + EXP(E65))^2</f>
        <v>0.25</v>
      </c>
      <c r="J65" s="39" t="n">
        <v>1</v>
      </c>
      <c r="K65" s="2" t="n">
        <f aca="false">D65</f>
        <v>15</v>
      </c>
      <c r="L65" s="39" t="n">
        <f aca="false">-1*$C$14*H65*I65*J65</f>
        <v>0</v>
      </c>
      <c r="M65" s="2" t="n">
        <f aca="false">-1*$C$14*H65*I65*K65</f>
        <v>0</v>
      </c>
    </row>
    <row r="66" customFormat="false" ht="15" hidden="false" customHeight="false" outlineLevel="0" collapsed="false">
      <c r="A66" s="3"/>
      <c r="B66" s="3"/>
      <c r="C66" s="3"/>
      <c r="D66" s="4" t="n">
        <v>20</v>
      </c>
      <c r="E66" s="2" t="n">
        <f aca="false">$A$63+$B$63*D66</f>
        <v>0</v>
      </c>
      <c r="F66" s="2" t="n">
        <f aca="false">E66</f>
        <v>0</v>
      </c>
      <c r="G66" s="37" t="n">
        <f aca="false">($C$6-E66)^2</f>
        <v>20.9764</v>
      </c>
      <c r="H66" s="38" t="n">
        <f aca="false">2*(E66-$C$6)</f>
        <v>-9.16</v>
      </c>
      <c r="I66" s="2" t="n">
        <f aca="false">EXP(E66)/(1 + EXP(E66))^2</f>
        <v>0.25</v>
      </c>
      <c r="J66" s="39" t="n">
        <v>1</v>
      </c>
      <c r="K66" s="2" t="n">
        <f aca="false">D66</f>
        <v>20</v>
      </c>
      <c r="L66" s="39" t="n">
        <f aca="false">-1*$C$14*H66*I66*J66</f>
        <v>0</v>
      </c>
      <c r="M66" s="2" t="n">
        <f aca="false">-1*$C$14*H66*I66*K66</f>
        <v>0</v>
      </c>
    </row>
    <row r="67" customFormat="false" ht="15" hidden="false" customHeight="false" outlineLevel="0" collapsed="false">
      <c r="A67" s="3"/>
      <c r="B67" s="3"/>
      <c r="C67" s="3"/>
      <c r="D67" s="4" t="n">
        <v>25</v>
      </c>
      <c r="E67" s="2" t="n">
        <f aca="false">$A$63+$B$63*D67</f>
        <v>0</v>
      </c>
      <c r="F67" s="2" t="n">
        <f aca="false">E67</f>
        <v>0</v>
      </c>
      <c r="G67" s="37" t="n">
        <f aca="false">($C$7-E67)^2</f>
        <v>75.4002777777778</v>
      </c>
      <c r="H67" s="38" t="n">
        <f aca="false">2*(E67-$C$7)</f>
        <v>-17.3666666666667</v>
      </c>
      <c r="I67" s="2" t="n">
        <f aca="false">EXP(E67)/(1 + EXP(E67))^2</f>
        <v>0.25</v>
      </c>
      <c r="J67" s="39" t="n">
        <v>1</v>
      </c>
      <c r="K67" s="2" t="n">
        <f aca="false">D67</f>
        <v>25</v>
      </c>
      <c r="L67" s="39" t="n">
        <f aca="false">-1*$C$14*H67*I67*J67</f>
        <v>0</v>
      </c>
      <c r="M67" s="2" t="n">
        <f aca="false">-1*$C$14*H67*I67*K67</f>
        <v>0</v>
      </c>
    </row>
    <row r="68" customFormat="false" ht="15" hidden="false" customHeight="false" outlineLevel="0" collapsed="false">
      <c r="A68" s="3"/>
      <c r="B68" s="3"/>
      <c r="C68" s="3"/>
      <c r="D68" s="4" t="n">
        <v>30</v>
      </c>
      <c r="E68" s="2" t="n">
        <f aca="false">$A$63+$B$63*D68</f>
        <v>0</v>
      </c>
      <c r="F68" s="2" t="n">
        <f aca="false">E68</f>
        <v>0</v>
      </c>
      <c r="G68" s="37" t="n">
        <f aca="false">($C$8-E68)^2</f>
        <v>80.2816</v>
      </c>
      <c r="H68" s="38" t="n">
        <f aca="false">2*(E68-$C$8)</f>
        <v>-17.92</v>
      </c>
      <c r="I68" s="2" t="n">
        <f aca="false">EXP(E68)/(1 + EXP(E68))^2</f>
        <v>0.25</v>
      </c>
      <c r="J68" s="39" t="n">
        <v>1</v>
      </c>
      <c r="K68" s="2" t="n">
        <f aca="false">D68</f>
        <v>30</v>
      </c>
      <c r="L68" s="39" t="n">
        <f aca="false">-1*$C$14*H68*I68*J68</f>
        <v>0</v>
      </c>
      <c r="M68" s="2" t="n">
        <f aca="false">-1*$C$14*H68*I68*K68</f>
        <v>0</v>
      </c>
    </row>
    <row r="69" customFormat="false" ht="15" hidden="false" customHeight="false" outlineLevel="0" collapsed="false">
      <c r="A69" s="3"/>
      <c r="B69" s="3"/>
      <c r="C69" s="3"/>
      <c r="D69" s="4" t="n">
        <v>35</v>
      </c>
      <c r="E69" s="2" t="n">
        <f aca="false">$A$63+$B$63*D69</f>
        <v>0</v>
      </c>
      <c r="F69" s="2" t="n">
        <f aca="false">E69</f>
        <v>0</v>
      </c>
      <c r="G69" s="37" t="n">
        <f aca="false">($C$9-E69)^2</f>
        <v>101.136544444444</v>
      </c>
      <c r="H69" s="38" t="n">
        <f aca="false">2*(E69-$C$9)</f>
        <v>-20.1133333333333</v>
      </c>
      <c r="I69" s="2" t="n">
        <f aca="false">EXP(E69)/(1 + EXP(E69))^2</f>
        <v>0.25</v>
      </c>
      <c r="J69" s="39" t="n">
        <v>1</v>
      </c>
      <c r="K69" s="2" t="n">
        <f aca="false">D69</f>
        <v>35</v>
      </c>
      <c r="L69" s="39" t="n">
        <f aca="false">-1*$C$14*H69*I69*J69</f>
        <v>0</v>
      </c>
      <c r="M69" s="2" t="n">
        <f aca="false">-1*$C$14*H69*I69*K69</f>
        <v>0</v>
      </c>
    </row>
    <row r="70" customFormat="false" ht="15" hidden="false" customHeight="false" outlineLevel="0" collapsed="false">
      <c r="A70" s="3"/>
      <c r="B70" s="3"/>
      <c r="C70" s="3"/>
      <c r="D70" s="4" t="n">
        <v>40</v>
      </c>
      <c r="E70" s="2" t="n">
        <f aca="false">$A$63+$B$63*D70</f>
        <v>0</v>
      </c>
      <c r="F70" s="2" t="n">
        <f aca="false">E70</f>
        <v>0</v>
      </c>
      <c r="G70" s="37" t="n">
        <f aca="false">($C$10-E70)^2</f>
        <v>168.826711111111</v>
      </c>
      <c r="H70" s="38" t="n">
        <f aca="false">2*(E70-$C$10)</f>
        <v>-25.9866666666667</v>
      </c>
      <c r="I70" s="2" t="n">
        <f aca="false">EXP(E70)/(1 + EXP(E70))^2</f>
        <v>0.25</v>
      </c>
      <c r="J70" s="39" t="n">
        <v>1</v>
      </c>
      <c r="K70" s="2" t="n">
        <f aca="false">D70</f>
        <v>40</v>
      </c>
      <c r="L70" s="39" t="n">
        <f aca="false">-1*$C$14*H70*I70*J70</f>
        <v>0</v>
      </c>
      <c r="M70" s="2" t="n">
        <f aca="false">-1*$C$14*H70*I70*K70</f>
        <v>0</v>
      </c>
    </row>
    <row r="71" customFormat="false" ht="15" hidden="false" customHeight="false" outlineLevel="0" collapsed="false">
      <c r="A71" s="3"/>
      <c r="B71" s="3"/>
      <c r="C71" s="3"/>
      <c r="D71" s="4" t="n">
        <v>45</v>
      </c>
      <c r="E71" s="2" t="n">
        <f aca="false">$A$63+$B$63*D71</f>
        <v>0</v>
      </c>
      <c r="F71" s="2" t="n">
        <f aca="false">E71</f>
        <v>0</v>
      </c>
      <c r="G71" s="37" t="n">
        <f aca="false">($C$11-E71)^2</f>
        <v>208.2249</v>
      </c>
      <c r="H71" s="38" t="n">
        <f aca="false">2*(E71-$C$11)</f>
        <v>-28.86</v>
      </c>
      <c r="I71" s="2" t="n">
        <f aca="false">EXP(E71)/(1 + EXP(E71))^2</f>
        <v>0.25</v>
      </c>
      <c r="J71" s="39" t="n">
        <v>1</v>
      </c>
      <c r="K71" s="2" t="n">
        <f aca="false">D71</f>
        <v>45</v>
      </c>
      <c r="L71" s="39" t="n">
        <f aca="false">-1*$C$14*H71*I71*J71</f>
        <v>0</v>
      </c>
      <c r="M71" s="2" t="n">
        <f aca="false">-1*$C$14*H71*I71*K71</f>
        <v>0</v>
      </c>
    </row>
    <row r="72" customFormat="false" ht="15" hidden="false" customHeight="false" outlineLevel="0" collapsed="false">
      <c r="A72" s="40"/>
      <c r="B72" s="40"/>
      <c r="C72" s="1"/>
      <c r="D72" s="4" t="n">
        <v>50</v>
      </c>
      <c r="E72" s="2" t="n">
        <f aca="false">$A$63+$B$63*D72</f>
        <v>0</v>
      </c>
      <c r="F72" s="2" t="n">
        <f aca="false">E72</f>
        <v>0</v>
      </c>
      <c r="G72" s="37" t="n">
        <f aca="false">($C$12-E72)^2</f>
        <v>206.401111111111</v>
      </c>
      <c r="H72" s="38" t="n">
        <f aca="false">2*(E72-$C$12)</f>
        <v>-28.7333333333333</v>
      </c>
      <c r="I72" s="2" t="n">
        <f aca="false">EXP(E72)/(1 + EXP(E72))^2</f>
        <v>0.25</v>
      </c>
      <c r="J72" s="39" t="n">
        <v>1</v>
      </c>
      <c r="K72" s="2" t="n">
        <f aca="false">D72</f>
        <v>50</v>
      </c>
      <c r="L72" s="39" t="n">
        <f aca="false">-1*$C$14*H72*I72*J72</f>
        <v>0</v>
      </c>
      <c r="M72" s="2" t="n">
        <f aca="false">-1*$C$14*H72*I72*K72</f>
        <v>0</v>
      </c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41" t="n">
        <f aca="false">SUM(G63:G72)</f>
        <v>892.151144444445</v>
      </c>
      <c r="H73" s="30"/>
      <c r="I73" s="1"/>
      <c r="J73" s="1"/>
      <c r="K73" s="1"/>
      <c r="L73" s="42" t="n">
        <f aca="false">AVERAGE(L63:L72)</f>
        <v>0</v>
      </c>
      <c r="M73" s="42" t="n">
        <f aca="false">AVERAGE(M63:M72)</f>
        <v>0</v>
      </c>
    </row>
    <row r="75" customFormat="false" ht="15" hidden="false" customHeight="false" outlineLevel="0" collapsed="false">
      <c r="A75" s="43" t="s">
        <v>29</v>
      </c>
    </row>
    <row r="76" customFormat="false" ht="15" hidden="false" customHeight="false" outlineLevel="0" collapsed="false">
      <c r="A76" s="3" t="s">
        <v>8</v>
      </c>
      <c r="B76" s="28" t="s">
        <v>9</v>
      </c>
      <c r="C76" s="1"/>
      <c r="D76" s="3" t="s">
        <v>10</v>
      </c>
      <c r="E76" s="29" t="s">
        <v>11</v>
      </c>
      <c r="F76" s="3" t="s">
        <v>12</v>
      </c>
      <c r="G76" s="3" t="s">
        <v>13</v>
      </c>
      <c r="H76" s="30"/>
      <c r="I76" s="1"/>
      <c r="J76" s="31" t="s">
        <v>14</v>
      </c>
      <c r="K76" s="31"/>
      <c r="L76" s="32" t="s">
        <v>15</v>
      </c>
      <c r="M76" s="32"/>
    </row>
    <row r="77" customFormat="false" ht="15" hidden="false" customHeight="false" outlineLevel="0" collapsed="false">
      <c r="A77" s="33" t="s">
        <v>16</v>
      </c>
      <c r="B77" s="33" t="s">
        <v>17</v>
      </c>
      <c r="C77" s="33"/>
      <c r="D77" s="33" t="s">
        <v>18</v>
      </c>
      <c r="E77" s="33" t="s">
        <v>19</v>
      </c>
      <c r="F77" s="33" t="s">
        <v>20</v>
      </c>
      <c r="G77" s="33" t="s">
        <v>21</v>
      </c>
      <c r="H77" s="34" t="s">
        <v>22</v>
      </c>
      <c r="I77" s="35" t="s">
        <v>23</v>
      </c>
      <c r="J77" s="34" t="s">
        <v>24</v>
      </c>
      <c r="K77" s="35" t="s">
        <v>25</v>
      </c>
      <c r="L77" s="36" t="s">
        <v>24</v>
      </c>
      <c r="M77" s="35" t="s">
        <v>25</v>
      </c>
    </row>
    <row r="78" customFormat="false" ht="15" hidden="false" customHeight="false" outlineLevel="0" collapsed="false">
      <c r="A78" s="3" t="n">
        <f aca="false">A63+L73</f>
        <v>0</v>
      </c>
      <c r="B78" s="3" t="n">
        <f aca="false">B63+M73</f>
        <v>0</v>
      </c>
      <c r="C78" s="3"/>
      <c r="D78" s="4" t="n">
        <v>5</v>
      </c>
      <c r="E78" s="2" t="n">
        <f aca="false">$A$78+$B$78*D78</f>
        <v>0</v>
      </c>
      <c r="F78" s="2" t="n">
        <f aca="false">E78</f>
        <v>0</v>
      </c>
      <c r="G78" s="37" t="n">
        <f aca="false">($C$3-E78)^2</f>
        <v>4.5796</v>
      </c>
      <c r="H78" s="38" t="n">
        <f aca="false">2*(E78-$C$3)</f>
        <v>-4.28</v>
      </c>
      <c r="I78" s="2" t="n">
        <f aca="false">EXP(E78)/(1 + EXP(E78))^2</f>
        <v>0.25</v>
      </c>
      <c r="J78" s="39" t="n">
        <v>1</v>
      </c>
      <c r="K78" s="2" t="n">
        <f aca="false">D78</f>
        <v>5</v>
      </c>
      <c r="L78" s="39" t="n">
        <f aca="false">-1*$C$14*H78*I78*J78</f>
        <v>0</v>
      </c>
      <c r="M78" s="2" t="n">
        <f aca="false">-1*$C$14*H78*I78*K78</f>
        <v>0</v>
      </c>
    </row>
    <row r="79" customFormat="false" ht="15" hidden="false" customHeight="false" outlineLevel="0" collapsed="false">
      <c r="A79" s="3"/>
      <c r="B79" s="3"/>
      <c r="C79" s="3"/>
      <c r="D79" s="4" t="n">
        <v>10</v>
      </c>
      <c r="E79" s="2" t="n">
        <f aca="false">$A$78+$B$78*D79</f>
        <v>0</v>
      </c>
      <c r="F79" s="2" t="n">
        <f aca="false">E79</f>
        <v>0</v>
      </c>
      <c r="G79" s="37" t="n">
        <f aca="false">($C$4-E79)^2</f>
        <v>11.4244</v>
      </c>
      <c r="H79" s="38" t="n">
        <f aca="false">2*(E79-$C$4)</f>
        <v>-6.76</v>
      </c>
      <c r="I79" s="2" t="n">
        <f aca="false">EXP(E79)/(1 + EXP(E79))^2</f>
        <v>0.25</v>
      </c>
      <c r="J79" s="39" t="n">
        <v>1</v>
      </c>
      <c r="K79" s="2" t="n">
        <f aca="false">D79</f>
        <v>10</v>
      </c>
      <c r="L79" s="39" t="n">
        <f aca="false">-1*$C$14*H79*I79*J79</f>
        <v>0</v>
      </c>
      <c r="M79" s="2" t="n">
        <f aca="false">-1*$C$14*H79*I79*K79</f>
        <v>0</v>
      </c>
    </row>
    <row r="80" customFormat="false" ht="15" hidden="false" customHeight="false" outlineLevel="0" collapsed="false">
      <c r="A80" s="3"/>
      <c r="B80" s="3"/>
      <c r="C80" s="3"/>
      <c r="D80" s="4" t="n">
        <v>15</v>
      </c>
      <c r="E80" s="2" t="n">
        <f aca="false">$A$78+$B$78*D80</f>
        <v>0</v>
      </c>
      <c r="F80" s="2" t="n">
        <f aca="false">E80</f>
        <v>0</v>
      </c>
      <c r="G80" s="37" t="n">
        <f aca="false">($C$5-E80)^2</f>
        <v>14.8996</v>
      </c>
      <c r="H80" s="38" t="n">
        <f aca="false">2*(E80-$C$5)</f>
        <v>-7.72</v>
      </c>
      <c r="I80" s="2" t="n">
        <f aca="false">EXP(E80)/(1 + EXP(E80))^2</f>
        <v>0.25</v>
      </c>
      <c r="J80" s="39" t="n">
        <v>1</v>
      </c>
      <c r="K80" s="2" t="n">
        <f aca="false">D80</f>
        <v>15</v>
      </c>
      <c r="L80" s="39" t="n">
        <f aca="false">-1*$C$14*H80*I80*J80</f>
        <v>0</v>
      </c>
      <c r="M80" s="2" t="n">
        <f aca="false">-1*$C$14*H80*I80*K80</f>
        <v>0</v>
      </c>
    </row>
    <row r="81" customFormat="false" ht="15" hidden="false" customHeight="false" outlineLevel="0" collapsed="false">
      <c r="A81" s="3"/>
      <c r="B81" s="3"/>
      <c r="C81" s="3"/>
      <c r="D81" s="4" t="n">
        <v>20</v>
      </c>
      <c r="E81" s="2" t="n">
        <f aca="false">$A$78+$B$78*D81</f>
        <v>0</v>
      </c>
      <c r="F81" s="2" t="n">
        <f aca="false">E81</f>
        <v>0</v>
      </c>
      <c r="G81" s="37" t="n">
        <f aca="false">($C$6-E81)^2</f>
        <v>20.9764</v>
      </c>
      <c r="H81" s="38" t="n">
        <f aca="false">2*(E81-$C$6)</f>
        <v>-9.16</v>
      </c>
      <c r="I81" s="2" t="n">
        <f aca="false">EXP(E81)/(1 + EXP(E81))^2</f>
        <v>0.25</v>
      </c>
      <c r="J81" s="39" t="n">
        <v>1</v>
      </c>
      <c r="K81" s="2" t="n">
        <f aca="false">D81</f>
        <v>20</v>
      </c>
      <c r="L81" s="39" t="n">
        <f aca="false">-1*$C$14*H81*I81*J81</f>
        <v>0</v>
      </c>
      <c r="M81" s="2" t="n">
        <f aca="false">-1*$C$14*H81*I81*K81</f>
        <v>0</v>
      </c>
    </row>
    <row r="82" customFormat="false" ht="15" hidden="false" customHeight="false" outlineLevel="0" collapsed="false">
      <c r="A82" s="3"/>
      <c r="B82" s="3"/>
      <c r="C82" s="3"/>
      <c r="D82" s="4" t="n">
        <v>25</v>
      </c>
      <c r="E82" s="2" t="n">
        <f aca="false">$A$78+$B$78*D82</f>
        <v>0</v>
      </c>
      <c r="F82" s="2" t="n">
        <f aca="false">E82</f>
        <v>0</v>
      </c>
      <c r="G82" s="37" t="n">
        <f aca="false">($C$7-E82)^2</f>
        <v>75.4002777777778</v>
      </c>
      <c r="H82" s="38" t="n">
        <f aca="false">2*(E82-$C$7)</f>
        <v>-17.3666666666667</v>
      </c>
      <c r="I82" s="2" t="n">
        <f aca="false">EXP(E82)/(1 + EXP(E82))^2</f>
        <v>0.25</v>
      </c>
      <c r="J82" s="39" t="n">
        <v>1</v>
      </c>
      <c r="K82" s="2" t="n">
        <f aca="false">D82</f>
        <v>25</v>
      </c>
      <c r="L82" s="39" t="n">
        <f aca="false">-1*$C$14*H82*I82*J82</f>
        <v>0</v>
      </c>
      <c r="M82" s="2" t="n">
        <f aca="false">-1*$C$14*H82*I82*K82</f>
        <v>0</v>
      </c>
    </row>
    <row r="83" customFormat="false" ht="15" hidden="false" customHeight="false" outlineLevel="0" collapsed="false">
      <c r="A83" s="3"/>
      <c r="B83" s="3"/>
      <c r="C83" s="3"/>
      <c r="D83" s="4" t="n">
        <v>30</v>
      </c>
      <c r="E83" s="2" t="n">
        <f aca="false">$A$78+$B$78*D83</f>
        <v>0</v>
      </c>
      <c r="F83" s="2" t="n">
        <f aca="false">E83</f>
        <v>0</v>
      </c>
      <c r="G83" s="37" t="n">
        <f aca="false">($C$8-E83)^2</f>
        <v>80.2816</v>
      </c>
      <c r="H83" s="38" t="n">
        <f aca="false">2*(E83-$C$8)</f>
        <v>-17.92</v>
      </c>
      <c r="I83" s="2" t="n">
        <f aca="false">EXP(E83)/(1 + EXP(E83))^2</f>
        <v>0.25</v>
      </c>
      <c r="J83" s="39" t="n">
        <v>1</v>
      </c>
      <c r="K83" s="2" t="n">
        <f aca="false">D83</f>
        <v>30</v>
      </c>
      <c r="L83" s="39" t="n">
        <f aca="false">-1*$C$14*H83*I83*J83</f>
        <v>0</v>
      </c>
      <c r="M83" s="2" t="n">
        <f aca="false">-1*$C$14*H83*I83*K83</f>
        <v>0</v>
      </c>
    </row>
    <row r="84" customFormat="false" ht="15" hidden="false" customHeight="false" outlineLevel="0" collapsed="false">
      <c r="A84" s="3"/>
      <c r="B84" s="3"/>
      <c r="C84" s="3"/>
      <c r="D84" s="4" t="n">
        <v>35</v>
      </c>
      <c r="E84" s="2" t="n">
        <f aca="false">$A$78+$B$78*D84</f>
        <v>0</v>
      </c>
      <c r="F84" s="2" t="n">
        <f aca="false">E84</f>
        <v>0</v>
      </c>
      <c r="G84" s="37" t="n">
        <f aca="false">($C$9-E84)^2</f>
        <v>101.136544444444</v>
      </c>
      <c r="H84" s="38" t="n">
        <f aca="false">2*(E84-$C$9)</f>
        <v>-20.1133333333333</v>
      </c>
      <c r="I84" s="2" t="n">
        <f aca="false">EXP(E84)/(1 + EXP(E84))^2</f>
        <v>0.25</v>
      </c>
      <c r="J84" s="39" t="n">
        <v>1</v>
      </c>
      <c r="K84" s="2" t="n">
        <f aca="false">D84</f>
        <v>35</v>
      </c>
      <c r="L84" s="39" t="n">
        <f aca="false">-1*$C$14*H84*I84*J84</f>
        <v>0</v>
      </c>
      <c r="M84" s="2" t="n">
        <f aca="false">-1*$C$14*H84*I84*K84</f>
        <v>0</v>
      </c>
    </row>
    <row r="85" customFormat="false" ht="15" hidden="false" customHeight="false" outlineLevel="0" collapsed="false">
      <c r="A85" s="3"/>
      <c r="B85" s="3"/>
      <c r="C85" s="3"/>
      <c r="D85" s="4" t="n">
        <v>40</v>
      </c>
      <c r="E85" s="2" t="n">
        <f aca="false">$A$78+$B$78*D85</f>
        <v>0</v>
      </c>
      <c r="F85" s="2" t="n">
        <f aca="false">E85</f>
        <v>0</v>
      </c>
      <c r="G85" s="37" t="n">
        <f aca="false">($C$10-E85)^2</f>
        <v>168.826711111111</v>
      </c>
      <c r="H85" s="38" t="n">
        <f aca="false">2*(E85-$C$10)</f>
        <v>-25.9866666666667</v>
      </c>
      <c r="I85" s="2" t="n">
        <f aca="false">EXP(E85)/(1 + EXP(E85))^2</f>
        <v>0.25</v>
      </c>
      <c r="J85" s="39" t="n">
        <v>1</v>
      </c>
      <c r="K85" s="2" t="n">
        <f aca="false">D85</f>
        <v>40</v>
      </c>
      <c r="L85" s="39" t="n">
        <f aca="false">-1*$C$14*H85*I85*J85</f>
        <v>0</v>
      </c>
      <c r="M85" s="2" t="n">
        <f aca="false">-1*$C$14*H85*I85*K85</f>
        <v>0</v>
      </c>
    </row>
    <row r="86" customFormat="false" ht="15" hidden="false" customHeight="false" outlineLevel="0" collapsed="false">
      <c r="A86" s="3"/>
      <c r="B86" s="3"/>
      <c r="C86" s="3"/>
      <c r="D86" s="4" t="n">
        <v>45</v>
      </c>
      <c r="E86" s="2" t="n">
        <f aca="false">$A$78+$B$78*D86</f>
        <v>0</v>
      </c>
      <c r="F86" s="2" t="n">
        <f aca="false">E86</f>
        <v>0</v>
      </c>
      <c r="G86" s="37" t="n">
        <f aca="false">($C$11-E86)^2</f>
        <v>208.2249</v>
      </c>
      <c r="H86" s="38" t="n">
        <f aca="false">2*(E86-$C$11)</f>
        <v>-28.86</v>
      </c>
      <c r="I86" s="2" t="n">
        <f aca="false">EXP(E86)/(1 + EXP(E86))^2</f>
        <v>0.25</v>
      </c>
      <c r="J86" s="39" t="n">
        <v>1</v>
      </c>
      <c r="K86" s="2" t="n">
        <f aca="false">D86</f>
        <v>45</v>
      </c>
      <c r="L86" s="39" t="n">
        <f aca="false">-1*$C$14*H86*I86*J86</f>
        <v>0</v>
      </c>
      <c r="M86" s="2" t="n">
        <f aca="false">-1*$C$14*H86*I86*K86</f>
        <v>0</v>
      </c>
    </row>
    <row r="87" customFormat="false" ht="15" hidden="false" customHeight="false" outlineLevel="0" collapsed="false">
      <c r="A87" s="40"/>
      <c r="B87" s="40"/>
      <c r="C87" s="1"/>
      <c r="D87" s="4" t="n">
        <v>50</v>
      </c>
      <c r="E87" s="2" t="n">
        <f aca="false">$A$78+$B$78*D87</f>
        <v>0</v>
      </c>
      <c r="F87" s="2" t="n">
        <f aca="false">E87</f>
        <v>0</v>
      </c>
      <c r="G87" s="37" t="n">
        <f aca="false">($C$12-E87)^2</f>
        <v>206.401111111111</v>
      </c>
      <c r="H87" s="38" t="n">
        <f aca="false">2*(E87-$C$12)</f>
        <v>-28.7333333333333</v>
      </c>
      <c r="I87" s="2" t="n">
        <f aca="false">EXP(E87)/(1 + EXP(E87))^2</f>
        <v>0.25</v>
      </c>
      <c r="J87" s="39" t="n">
        <v>1</v>
      </c>
      <c r="K87" s="2" t="n">
        <f aca="false">D87</f>
        <v>50</v>
      </c>
      <c r="L87" s="39" t="n">
        <f aca="false">-1*$C$14*H87*I87*J87</f>
        <v>0</v>
      </c>
      <c r="M87" s="2" t="n">
        <f aca="false">-1*$C$14*H87*I87*K87</f>
        <v>0</v>
      </c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41" t="n">
        <f aca="false">SUM(G78:G87)</f>
        <v>892.151144444445</v>
      </c>
      <c r="H88" s="30"/>
      <c r="I88" s="1"/>
      <c r="J88" s="1"/>
      <c r="K88" s="1"/>
      <c r="L88" s="42" t="n">
        <f aca="false">AVERAGE(L78:L87)</f>
        <v>0</v>
      </c>
      <c r="M88" s="42" t="n">
        <f aca="false">AVERAGE(M78:M87)</f>
        <v>0</v>
      </c>
    </row>
    <row r="90" customFormat="false" ht="15" hidden="false" customHeight="false" outlineLevel="0" collapsed="false">
      <c r="A90" s="43" t="s">
        <v>30</v>
      </c>
    </row>
    <row r="91" customFormat="false" ht="15" hidden="false" customHeight="false" outlineLevel="0" collapsed="false">
      <c r="A91" s="3" t="s">
        <v>8</v>
      </c>
      <c r="B91" s="28" t="s">
        <v>9</v>
      </c>
      <c r="C91" s="1"/>
      <c r="D91" s="3" t="s">
        <v>10</v>
      </c>
      <c r="E91" s="29" t="s">
        <v>11</v>
      </c>
      <c r="F91" s="3" t="s">
        <v>12</v>
      </c>
      <c r="G91" s="3" t="s">
        <v>13</v>
      </c>
      <c r="H91" s="30"/>
      <c r="I91" s="1"/>
      <c r="J91" s="31" t="s">
        <v>14</v>
      </c>
      <c r="K91" s="31"/>
      <c r="L91" s="32" t="s">
        <v>15</v>
      </c>
      <c r="M91" s="32"/>
    </row>
    <row r="92" customFormat="false" ht="15" hidden="false" customHeight="false" outlineLevel="0" collapsed="false">
      <c r="A92" s="33" t="s">
        <v>16</v>
      </c>
      <c r="B92" s="33" t="s">
        <v>17</v>
      </c>
      <c r="C92" s="33"/>
      <c r="D92" s="33" t="s">
        <v>18</v>
      </c>
      <c r="E92" s="33" t="s">
        <v>19</v>
      </c>
      <c r="F92" s="33" t="s">
        <v>20</v>
      </c>
      <c r="G92" s="33" t="s">
        <v>21</v>
      </c>
      <c r="H92" s="34" t="s">
        <v>22</v>
      </c>
      <c r="I92" s="35" t="s">
        <v>23</v>
      </c>
      <c r="J92" s="34" t="s">
        <v>24</v>
      </c>
      <c r="K92" s="35" t="s">
        <v>25</v>
      </c>
      <c r="L92" s="36" t="s">
        <v>24</v>
      </c>
      <c r="M92" s="35" t="s">
        <v>25</v>
      </c>
    </row>
    <row r="93" customFormat="false" ht="15" hidden="false" customHeight="false" outlineLevel="0" collapsed="false">
      <c r="A93" s="3" t="n">
        <f aca="false">A78+L88</f>
        <v>0</v>
      </c>
      <c r="B93" s="3" t="n">
        <f aca="false">B78+M88</f>
        <v>0</v>
      </c>
      <c r="C93" s="3"/>
      <c r="D93" s="4" t="n">
        <v>5</v>
      </c>
      <c r="E93" s="2" t="n">
        <f aca="false">$A$93+$B$93*D93</f>
        <v>0</v>
      </c>
      <c r="F93" s="2" t="n">
        <f aca="false">E93</f>
        <v>0</v>
      </c>
      <c r="G93" s="37" t="n">
        <f aca="false">($C$3-E93)^2</f>
        <v>4.5796</v>
      </c>
      <c r="H93" s="38" t="n">
        <f aca="false">2*(E93-$C$3)</f>
        <v>-4.28</v>
      </c>
      <c r="I93" s="2" t="n">
        <f aca="false">EXP(E93)/(1 + EXP(E93))^2</f>
        <v>0.25</v>
      </c>
      <c r="J93" s="39" t="n">
        <v>1</v>
      </c>
      <c r="K93" s="2" t="n">
        <f aca="false">D93</f>
        <v>5</v>
      </c>
      <c r="L93" s="39" t="n">
        <f aca="false">-1*$C$14*H93*I93*J93</f>
        <v>0</v>
      </c>
      <c r="M93" s="2" t="n">
        <f aca="false">-1*$C$14*H93*I93*K93</f>
        <v>0</v>
      </c>
    </row>
    <row r="94" customFormat="false" ht="15" hidden="false" customHeight="false" outlineLevel="0" collapsed="false">
      <c r="A94" s="3"/>
      <c r="B94" s="3"/>
      <c r="C94" s="3"/>
      <c r="D94" s="4" t="n">
        <v>10</v>
      </c>
      <c r="E94" s="2" t="n">
        <f aca="false">$A$93+$B$93*D94</f>
        <v>0</v>
      </c>
      <c r="F94" s="2" t="n">
        <f aca="false">E94</f>
        <v>0</v>
      </c>
      <c r="G94" s="37" t="n">
        <f aca="false">($C$4-E94)^2</f>
        <v>11.4244</v>
      </c>
      <c r="H94" s="38" t="n">
        <f aca="false">2*(E94-$C$4)</f>
        <v>-6.76</v>
      </c>
      <c r="I94" s="2" t="n">
        <f aca="false">EXP(E94)/(1 + EXP(E94))^2</f>
        <v>0.25</v>
      </c>
      <c r="J94" s="39" t="n">
        <v>1</v>
      </c>
      <c r="K94" s="2" t="n">
        <f aca="false">D94</f>
        <v>10</v>
      </c>
      <c r="L94" s="39" t="n">
        <f aca="false">-1*$C$14*H94*I94*J94</f>
        <v>0</v>
      </c>
      <c r="M94" s="2" t="n">
        <f aca="false">-1*$C$14*H94*I94*K94</f>
        <v>0</v>
      </c>
    </row>
    <row r="95" customFormat="false" ht="15" hidden="false" customHeight="false" outlineLevel="0" collapsed="false">
      <c r="A95" s="3"/>
      <c r="B95" s="3"/>
      <c r="C95" s="3"/>
      <c r="D95" s="4" t="n">
        <v>15</v>
      </c>
      <c r="E95" s="2" t="n">
        <f aca="false">$A$93+$B$93*D95</f>
        <v>0</v>
      </c>
      <c r="F95" s="2" t="n">
        <f aca="false">E95</f>
        <v>0</v>
      </c>
      <c r="G95" s="37" t="n">
        <f aca="false">($C$5-E95)^2</f>
        <v>14.8996</v>
      </c>
      <c r="H95" s="38" t="n">
        <f aca="false">2*(E95-$C$5)</f>
        <v>-7.72</v>
      </c>
      <c r="I95" s="2" t="n">
        <f aca="false">EXP(E95)/(1 + EXP(E95))^2</f>
        <v>0.25</v>
      </c>
      <c r="J95" s="39" t="n">
        <v>1</v>
      </c>
      <c r="K95" s="2" t="n">
        <f aca="false">D95</f>
        <v>15</v>
      </c>
      <c r="L95" s="39" t="n">
        <f aca="false">-1*$C$14*H95*I95*J95</f>
        <v>0</v>
      </c>
      <c r="M95" s="2" t="n">
        <f aca="false">-1*$C$14*H95*I95*K95</f>
        <v>0</v>
      </c>
    </row>
    <row r="96" customFormat="false" ht="15" hidden="false" customHeight="false" outlineLevel="0" collapsed="false">
      <c r="A96" s="3"/>
      <c r="B96" s="3"/>
      <c r="C96" s="3"/>
      <c r="D96" s="4" t="n">
        <v>20</v>
      </c>
      <c r="E96" s="2" t="n">
        <f aca="false">$A$93+$B$93*D96</f>
        <v>0</v>
      </c>
      <c r="F96" s="2" t="n">
        <f aca="false">E96</f>
        <v>0</v>
      </c>
      <c r="G96" s="37" t="n">
        <f aca="false">($C$6-E96)^2</f>
        <v>20.9764</v>
      </c>
      <c r="H96" s="38" t="n">
        <f aca="false">2*(E96-$C$6)</f>
        <v>-9.16</v>
      </c>
      <c r="I96" s="2" t="n">
        <f aca="false">EXP(E96)/(1 + EXP(E96))^2</f>
        <v>0.25</v>
      </c>
      <c r="J96" s="39" t="n">
        <v>1</v>
      </c>
      <c r="K96" s="2" t="n">
        <f aca="false">D96</f>
        <v>20</v>
      </c>
      <c r="L96" s="39" t="n">
        <f aca="false">-1*$C$14*H96*I96*J96</f>
        <v>0</v>
      </c>
      <c r="M96" s="2" t="n">
        <f aca="false">-1*$C$14*H96*I96*K96</f>
        <v>0</v>
      </c>
    </row>
    <row r="97" customFormat="false" ht="15" hidden="false" customHeight="false" outlineLevel="0" collapsed="false">
      <c r="A97" s="3"/>
      <c r="B97" s="3"/>
      <c r="C97" s="3"/>
      <c r="D97" s="4" t="n">
        <v>25</v>
      </c>
      <c r="E97" s="2" t="n">
        <f aca="false">$A$93+$B$93*D97</f>
        <v>0</v>
      </c>
      <c r="F97" s="2" t="n">
        <f aca="false">E97</f>
        <v>0</v>
      </c>
      <c r="G97" s="37" t="n">
        <f aca="false">($C$7-E97)^2</f>
        <v>75.4002777777778</v>
      </c>
      <c r="H97" s="38" t="n">
        <f aca="false">2*(E97-$C$7)</f>
        <v>-17.3666666666667</v>
      </c>
      <c r="I97" s="2" t="n">
        <f aca="false">EXP(E97)/(1 + EXP(E97))^2</f>
        <v>0.25</v>
      </c>
      <c r="J97" s="39" t="n">
        <v>1</v>
      </c>
      <c r="K97" s="2" t="n">
        <f aca="false">D97</f>
        <v>25</v>
      </c>
      <c r="L97" s="39" t="n">
        <f aca="false">-1*$C$14*H97*I97*J97</f>
        <v>0</v>
      </c>
      <c r="M97" s="2" t="n">
        <f aca="false">-1*$C$14*H97*I97*K97</f>
        <v>0</v>
      </c>
    </row>
    <row r="98" customFormat="false" ht="15" hidden="false" customHeight="false" outlineLevel="0" collapsed="false">
      <c r="A98" s="3"/>
      <c r="B98" s="3"/>
      <c r="C98" s="3"/>
      <c r="D98" s="4" t="n">
        <v>30</v>
      </c>
      <c r="E98" s="2" t="n">
        <f aca="false">$A$93+$B$93*D98</f>
        <v>0</v>
      </c>
      <c r="F98" s="2" t="n">
        <f aca="false">E98</f>
        <v>0</v>
      </c>
      <c r="G98" s="37" t="n">
        <f aca="false">($C$8-E98)^2</f>
        <v>80.2816</v>
      </c>
      <c r="H98" s="38" t="n">
        <f aca="false">2*(E98-$C$8)</f>
        <v>-17.92</v>
      </c>
      <c r="I98" s="2" t="n">
        <f aca="false">EXP(E98)/(1 + EXP(E98))^2</f>
        <v>0.25</v>
      </c>
      <c r="J98" s="39" t="n">
        <v>1</v>
      </c>
      <c r="K98" s="2" t="n">
        <f aca="false">D98</f>
        <v>30</v>
      </c>
      <c r="L98" s="39" t="n">
        <f aca="false">-1*$C$14*H98*I98*J98</f>
        <v>0</v>
      </c>
      <c r="M98" s="2" t="n">
        <f aca="false">-1*$C$14*H98*I98*K98</f>
        <v>0</v>
      </c>
    </row>
    <row r="99" customFormat="false" ht="15" hidden="false" customHeight="false" outlineLevel="0" collapsed="false">
      <c r="A99" s="3"/>
      <c r="B99" s="3"/>
      <c r="C99" s="3"/>
      <c r="D99" s="4" t="n">
        <v>35</v>
      </c>
      <c r="E99" s="2" t="n">
        <f aca="false">$A$93+$B$93*D99</f>
        <v>0</v>
      </c>
      <c r="F99" s="2" t="n">
        <f aca="false">E99</f>
        <v>0</v>
      </c>
      <c r="G99" s="37" t="n">
        <f aca="false">($C$9-E99)^2</f>
        <v>101.136544444444</v>
      </c>
      <c r="H99" s="38" t="n">
        <f aca="false">2*(E99-$C$9)</f>
        <v>-20.1133333333333</v>
      </c>
      <c r="I99" s="2" t="n">
        <f aca="false">EXP(E99)/(1 + EXP(E99))^2</f>
        <v>0.25</v>
      </c>
      <c r="J99" s="39" t="n">
        <v>1</v>
      </c>
      <c r="K99" s="2" t="n">
        <f aca="false">D99</f>
        <v>35</v>
      </c>
      <c r="L99" s="39" t="n">
        <f aca="false">-1*$C$14*H99*I99*J99</f>
        <v>0</v>
      </c>
      <c r="M99" s="2" t="n">
        <f aca="false">-1*$C$14*H99*I99*K99</f>
        <v>0</v>
      </c>
    </row>
    <row r="100" customFormat="false" ht="15" hidden="false" customHeight="false" outlineLevel="0" collapsed="false">
      <c r="A100" s="3"/>
      <c r="B100" s="3"/>
      <c r="C100" s="3"/>
      <c r="D100" s="4" t="n">
        <v>40</v>
      </c>
      <c r="E100" s="2" t="n">
        <f aca="false">$A$93+$B$93*D100</f>
        <v>0</v>
      </c>
      <c r="F100" s="2" t="n">
        <f aca="false">E100</f>
        <v>0</v>
      </c>
      <c r="G100" s="37" t="n">
        <f aca="false">($C$10-E100)^2</f>
        <v>168.826711111111</v>
      </c>
      <c r="H100" s="38" t="n">
        <f aca="false">2*(E100-$C$10)</f>
        <v>-25.9866666666667</v>
      </c>
      <c r="I100" s="2" t="n">
        <f aca="false">EXP(E100)/(1 + EXP(E100))^2</f>
        <v>0.25</v>
      </c>
      <c r="J100" s="39" t="n">
        <v>1</v>
      </c>
      <c r="K100" s="2" t="n">
        <f aca="false">D100</f>
        <v>40</v>
      </c>
      <c r="L100" s="39" t="n">
        <f aca="false">-1*$C$14*H100*I100*J100</f>
        <v>0</v>
      </c>
      <c r="M100" s="2" t="n">
        <f aca="false">-1*$C$14*H100*I100*K100</f>
        <v>0</v>
      </c>
    </row>
    <row r="101" customFormat="false" ht="15" hidden="false" customHeight="false" outlineLevel="0" collapsed="false">
      <c r="A101" s="3"/>
      <c r="B101" s="3"/>
      <c r="C101" s="3"/>
      <c r="D101" s="4" t="n">
        <v>45</v>
      </c>
      <c r="E101" s="2" t="n">
        <f aca="false">$A$93+$B$93*D101</f>
        <v>0</v>
      </c>
      <c r="F101" s="2" t="n">
        <f aca="false">E101</f>
        <v>0</v>
      </c>
      <c r="G101" s="37" t="n">
        <f aca="false">($C$11-E101)^2</f>
        <v>208.2249</v>
      </c>
      <c r="H101" s="38" t="n">
        <f aca="false">2*(E101-$C$11)</f>
        <v>-28.86</v>
      </c>
      <c r="I101" s="2" t="n">
        <f aca="false">EXP(E101)/(1 + EXP(E101))^2</f>
        <v>0.25</v>
      </c>
      <c r="J101" s="39" t="n">
        <v>1</v>
      </c>
      <c r="K101" s="2" t="n">
        <f aca="false">D101</f>
        <v>45</v>
      </c>
      <c r="L101" s="39" t="n">
        <f aca="false">-1*$C$14*H101*I101*J101</f>
        <v>0</v>
      </c>
      <c r="M101" s="2" t="n">
        <f aca="false">-1*$C$14*H101*I101*K101</f>
        <v>0</v>
      </c>
    </row>
    <row r="102" customFormat="false" ht="15" hidden="false" customHeight="false" outlineLevel="0" collapsed="false">
      <c r="A102" s="40"/>
      <c r="B102" s="40"/>
      <c r="C102" s="1"/>
      <c r="D102" s="4" t="n">
        <v>50</v>
      </c>
      <c r="E102" s="2" t="n">
        <f aca="false">$A$93+$B$93*D102</f>
        <v>0</v>
      </c>
      <c r="F102" s="2" t="n">
        <f aca="false">E102</f>
        <v>0</v>
      </c>
      <c r="G102" s="37" t="n">
        <f aca="false">($C$12-E102)^2</f>
        <v>206.401111111111</v>
      </c>
      <c r="H102" s="38" t="n">
        <f aca="false">2*(E102-$C$12)</f>
        <v>-28.7333333333333</v>
      </c>
      <c r="I102" s="2" t="n">
        <f aca="false">EXP(E102)/(1 + EXP(E102))^2</f>
        <v>0.25</v>
      </c>
      <c r="J102" s="39" t="n">
        <v>1</v>
      </c>
      <c r="K102" s="2" t="n">
        <f aca="false">D102</f>
        <v>50</v>
      </c>
      <c r="L102" s="39" t="n">
        <f aca="false">-1*$C$14*H102*I102*J102</f>
        <v>0</v>
      </c>
      <c r="M102" s="2" t="n">
        <f aca="false">-1*$C$14*H102*I102*K102</f>
        <v>0</v>
      </c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41" t="n">
        <f aca="false">SUM(G93:G102)</f>
        <v>892.151144444445</v>
      </c>
      <c r="H103" s="30"/>
      <c r="I103" s="1"/>
      <c r="J103" s="1"/>
      <c r="K103" s="1"/>
      <c r="L103" s="42" t="n">
        <f aca="false">AVERAGE(L93:L102)</f>
        <v>0</v>
      </c>
      <c r="M103" s="42" t="n">
        <f aca="false">AVERAGE(M93:M102)</f>
        <v>0</v>
      </c>
    </row>
    <row r="105" customFormat="false" ht="15" hidden="false" customHeight="false" outlineLevel="0" collapsed="false">
      <c r="A105" s="43" t="s">
        <v>31</v>
      </c>
    </row>
    <row r="106" customFormat="false" ht="15" hidden="false" customHeight="false" outlineLevel="0" collapsed="false">
      <c r="A106" s="3" t="s">
        <v>8</v>
      </c>
      <c r="B106" s="28" t="s">
        <v>9</v>
      </c>
      <c r="C106" s="1"/>
      <c r="D106" s="3" t="s">
        <v>10</v>
      </c>
      <c r="E106" s="29" t="s">
        <v>11</v>
      </c>
      <c r="F106" s="3" t="s">
        <v>12</v>
      </c>
      <c r="G106" s="3" t="s">
        <v>13</v>
      </c>
      <c r="H106" s="30"/>
      <c r="I106" s="1"/>
      <c r="J106" s="31" t="s">
        <v>14</v>
      </c>
      <c r="K106" s="31"/>
      <c r="L106" s="32" t="s">
        <v>15</v>
      </c>
      <c r="M106" s="32"/>
    </row>
    <row r="107" customFormat="false" ht="15" hidden="false" customHeight="false" outlineLevel="0" collapsed="false">
      <c r="A107" s="33" t="s">
        <v>16</v>
      </c>
      <c r="B107" s="33" t="s">
        <v>17</v>
      </c>
      <c r="C107" s="33"/>
      <c r="D107" s="33" t="s">
        <v>18</v>
      </c>
      <c r="E107" s="33" t="s">
        <v>19</v>
      </c>
      <c r="F107" s="33" t="s">
        <v>20</v>
      </c>
      <c r="G107" s="33" t="s">
        <v>21</v>
      </c>
      <c r="H107" s="34" t="s">
        <v>22</v>
      </c>
      <c r="I107" s="35" t="s">
        <v>23</v>
      </c>
      <c r="J107" s="34" t="s">
        <v>24</v>
      </c>
      <c r="K107" s="35" t="s">
        <v>25</v>
      </c>
      <c r="L107" s="36" t="s">
        <v>24</v>
      </c>
      <c r="M107" s="35" t="s">
        <v>25</v>
      </c>
    </row>
    <row r="108" customFormat="false" ht="15" hidden="false" customHeight="false" outlineLevel="0" collapsed="false">
      <c r="A108" s="3" t="n">
        <f aca="false">A93+L103</f>
        <v>0</v>
      </c>
      <c r="B108" s="3" t="n">
        <f aca="false">B93+M103</f>
        <v>0</v>
      </c>
      <c r="C108" s="3"/>
      <c r="D108" s="4" t="n">
        <v>5</v>
      </c>
      <c r="E108" s="2" t="n">
        <f aca="false">$A$108+$B$108*D108</f>
        <v>0</v>
      </c>
      <c r="F108" s="2" t="n">
        <f aca="false">E108</f>
        <v>0</v>
      </c>
      <c r="G108" s="37" t="n">
        <f aca="false">($C$3-E108)^2</f>
        <v>4.5796</v>
      </c>
      <c r="H108" s="38" t="n">
        <f aca="false">2*(E108-$C$3)</f>
        <v>-4.28</v>
      </c>
      <c r="I108" s="2" t="n">
        <f aca="false">EXP(E108)/(1 + EXP(E108))^2</f>
        <v>0.25</v>
      </c>
      <c r="J108" s="39" t="n">
        <v>1</v>
      </c>
      <c r="K108" s="2" t="n">
        <f aca="false">D108</f>
        <v>5</v>
      </c>
      <c r="L108" s="39" t="n">
        <f aca="false">-1*$C$14*H108*I108*J108</f>
        <v>0</v>
      </c>
      <c r="M108" s="2" t="n">
        <f aca="false">-1*$C$14*H108*I108*K108</f>
        <v>0</v>
      </c>
    </row>
    <row r="109" customFormat="false" ht="15" hidden="false" customHeight="false" outlineLevel="0" collapsed="false">
      <c r="A109" s="3"/>
      <c r="B109" s="3"/>
      <c r="C109" s="3"/>
      <c r="D109" s="4" t="n">
        <v>10</v>
      </c>
      <c r="E109" s="2" t="n">
        <f aca="false">$A$108+$B$108*D109</f>
        <v>0</v>
      </c>
      <c r="F109" s="2" t="n">
        <f aca="false">E109</f>
        <v>0</v>
      </c>
      <c r="G109" s="37" t="n">
        <f aca="false">($C$4-E109)^2</f>
        <v>11.4244</v>
      </c>
      <c r="H109" s="38" t="n">
        <f aca="false">2*(E109-$C$4)</f>
        <v>-6.76</v>
      </c>
      <c r="I109" s="2" t="n">
        <f aca="false">EXP(E109)/(1 + EXP(E109))^2</f>
        <v>0.25</v>
      </c>
      <c r="J109" s="39" t="n">
        <v>1</v>
      </c>
      <c r="K109" s="2" t="n">
        <f aca="false">D109</f>
        <v>10</v>
      </c>
      <c r="L109" s="39" t="n">
        <f aca="false">-1*$C$14*H109*I109*J109</f>
        <v>0</v>
      </c>
      <c r="M109" s="2" t="n">
        <f aca="false">-1*$C$14*H109*I109*K109</f>
        <v>0</v>
      </c>
    </row>
    <row r="110" customFormat="false" ht="15" hidden="false" customHeight="false" outlineLevel="0" collapsed="false">
      <c r="A110" s="3"/>
      <c r="B110" s="3"/>
      <c r="C110" s="3"/>
      <c r="D110" s="4" t="n">
        <v>15</v>
      </c>
      <c r="E110" s="2" t="n">
        <f aca="false">$A$108+$B$108*D110</f>
        <v>0</v>
      </c>
      <c r="F110" s="2" t="n">
        <f aca="false">E110</f>
        <v>0</v>
      </c>
      <c r="G110" s="37" t="n">
        <f aca="false">($C$5-E110)^2</f>
        <v>14.8996</v>
      </c>
      <c r="H110" s="38" t="n">
        <f aca="false">2*(E110-$C$5)</f>
        <v>-7.72</v>
      </c>
      <c r="I110" s="2" t="n">
        <f aca="false">EXP(E110)/(1 + EXP(E110))^2</f>
        <v>0.25</v>
      </c>
      <c r="J110" s="39" t="n">
        <v>1</v>
      </c>
      <c r="K110" s="2" t="n">
        <f aca="false">D110</f>
        <v>15</v>
      </c>
      <c r="L110" s="39" t="n">
        <f aca="false">-1*$C$14*H110*I110*J110</f>
        <v>0</v>
      </c>
      <c r="M110" s="2" t="n">
        <f aca="false">-1*$C$14*H110*I110*K110</f>
        <v>0</v>
      </c>
    </row>
    <row r="111" customFormat="false" ht="15" hidden="false" customHeight="false" outlineLevel="0" collapsed="false">
      <c r="A111" s="3"/>
      <c r="B111" s="3"/>
      <c r="C111" s="3"/>
      <c r="D111" s="4" t="n">
        <v>20</v>
      </c>
      <c r="E111" s="2" t="n">
        <f aca="false">$A$108+$B$108*D111</f>
        <v>0</v>
      </c>
      <c r="F111" s="2" t="n">
        <f aca="false">E111</f>
        <v>0</v>
      </c>
      <c r="G111" s="37" t="n">
        <f aca="false">($C$6-E111)^2</f>
        <v>20.9764</v>
      </c>
      <c r="H111" s="38" t="n">
        <f aca="false">2*(E111-$C$6)</f>
        <v>-9.16</v>
      </c>
      <c r="I111" s="2" t="n">
        <f aca="false">EXP(E111)/(1 + EXP(E111))^2</f>
        <v>0.25</v>
      </c>
      <c r="J111" s="39" t="n">
        <v>1</v>
      </c>
      <c r="K111" s="2" t="n">
        <f aca="false">D111</f>
        <v>20</v>
      </c>
      <c r="L111" s="39" t="n">
        <f aca="false">-1*$C$14*H111*I111*J111</f>
        <v>0</v>
      </c>
      <c r="M111" s="2" t="n">
        <f aca="false">-1*$C$14*H111*I111*K111</f>
        <v>0</v>
      </c>
    </row>
    <row r="112" customFormat="false" ht="15" hidden="false" customHeight="false" outlineLevel="0" collapsed="false">
      <c r="A112" s="3"/>
      <c r="B112" s="3"/>
      <c r="C112" s="3"/>
      <c r="D112" s="4" t="n">
        <v>25</v>
      </c>
      <c r="E112" s="2" t="n">
        <f aca="false">$A$108+$B$108*D112</f>
        <v>0</v>
      </c>
      <c r="F112" s="2" t="n">
        <f aca="false">E112</f>
        <v>0</v>
      </c>
      <c r="G112" s="37" t="n">
        <f aca="false">($C$7-E112)^2</f>
        <v>75.4002777777778</v>
      </c>
      <c r="H112" s="38" t="n">
        <f aca="false">2*(E112-$C$7)</f>
        <v>-17.3666666666667</v>
      </c>
      <c r="I112" s="2" t="n">
        <f aca="false">EXP(E112)/(1 + EXP(E112))^2</f>
        <v>0.25</v>
      </c>
      <c r="J112" s="39" t="n">
        <v>1</v>
      </c>
      <c r="K112" s="2" t="n">
        <f aca="false">D112</f>
        <v>25</v>
      </c>
      <c r="L112" s="39" t="n">
        <f aca="false">-1*$C$14*H112*I112*J112</f>
        <v>0</v>
      </c>
      <c r="M112" s="2" t="n">
        <f aca="false">-1*$C$14*H112*I112*K112</f>
        <v>0</v>
      </c>
    </row>
    <row r="113" customFormat="false" ht="15" hidden="false" customHeight="false" outlineLevel="0" collapsed="false">
      <c r="A113" s="3"/>
      <c r="B113" s="3"/>
      <c r="C113" s="3"/>
      <c r="D113" s="4" t="n">
        <v>30</v>
      </c>
      <c r="E113" s="2" t="n">
        <f aca="false">$A$108+$B$108*D113</f>
        <v>0</v>
      </c>
      <c r="F113" s="2" t="n">
        <f aca="false">E113</f>
        <v>0</v>
      </c>
      <c r="G113" s="37" t="n">
        <f aca="false">($C$8-E113)^2</f>
        <v>80.2816</v>
      </c>
      <c r="H113" s="38" t="n">
        <f aca="false">2*(E113-$C$8)</f>
        <v>-17.92</v>
      </c>
      <c r="I113" s="2" t="n">
        <f aca="false">EXP(E113)/(1 + EXP(E113))^2</f>
        <v>0.25</v>
      </c>
      <c r="J113" s="39" t="n">
        <v>1</v>
      </c>
      <c r="K113" s="2" t="n">
        <f aca="false">D113</f>
        <v>30</v>
      </c>
      <c r="L113" s="39" t="n">
        <f aca="false">-1*$C$14*H113*I113*J113</f>
        <v>0</v>
      </c>
      <c r="M113" s="2" t="n">
        <f aca="false">-1*$C$14*H113*I113*K113</f>
        <v>0</v>
      </c>
    </row>
    <row r="114" customFormat="false" ht="15" hidden="false" customHeight="false" outlineLevel="0" collapsed="false">
      <c r="A114" s="3"/>
      <c r="B114" s="3"/>
      <c r="C114" s="3"/>
      <c r="D114" s="4" t="n">
        <v>35</v>
      </c>
      <c r="E114" s="2" t="n">
        <f aca="false">$A$108+$B$108*D114</f>
        <v>0</v>
      </c>
      <c r="F114" s="2" t="n">
        <f aca="false">E114</f>
        <v>0</v>
      </c>
      <c r="G114" s="37" t="n">
        <f aca="false">($C$9-E114)^2</f>
        <v>101.136544444444</v>
      </c>
      <c r="H114" s="38" t="n">
        <f aca="false">2*(E114-$C$9)</f>
        <v>-20.1133333333333</v>
      </c>
      <c r="I114" s="2" t="n">
        <f aca="false">EXP(E114)/(1 + EXP(E114))^2</f>
        <v>0.25</v>
      </c>
      <c r="J114" s="39" t="n">
        <v>1</v>
      </c>
      <c r="K114" s="2" t="n">
        <f aca="false">D114</f>
        <v>35</v>
      </c>
      <c r="L114" s="39" t="n">
        <f aca="false">-1*$C$14*H114*I114*J114</f>
        <v>0</v>
      </c>
      <c r="M114" s="2" t="n">
        <f aca="false">-1*$C$14*H114*I114*K114</f>
        <v>0</v>
      </c>
    </row>
    <row r="115" customFormat="false" ht="15" hidden="false" customHeight="false" outlineLevel="0" collapsed="false">
      <c r="A115" s="3"/>
      <c r="B115" s="3"/>
      <c r="C115" s="3"/>
      <c r="D115" s="4" t="n">
        <v>40</v>
      </c>
      <c r="E115" s="2" t="n">
        <f aca="false">$A$108+$B$108*D115</f>
        <v>0</v>
      </c>
      <c r="F115" s="2" t="n">
        <f aca="false">E115</f>
        <v>0</v>
      </c>
      <c r="G115" s="37" t="n">
        <f aca="false">($C$10-E115)^2</f>
        <v>168.826711111111</v>
      </c>
      <c r="H115" s="38" t="n">
        <f aca="false">2*(E115-$C$10)</f>
        <v>-25.9866666666667</v>
      </c>
      <c r="I115" s="2" t="n">
        <f aca="false">EXP(E115)/(1 + EXP(E115))^2</f>
        <v>0.25</v>
      </c>
      <c r="J115" s="39" t="n">
        <v>1</v>
      </c>
      <c r="K115" s="2" t="n">
        <f aca="false">D115</f>
        <v>40</v>
      </c>
      <c r="L115" s="39" t="n">
        <f aca="false">-1*$C$14*H115*I115*J115</f>
        <v>0</v>
      </c>
      <c r="M115" s="2" t="n">
        <f aca="false">-1*$C$14*H115*I115*K115</f>
        <v>0</v>
      </c>
    </row>
    <row r="116" customFormat="false" ht="15" hidden="false" customHeight="false" outlineLevel="0" collapsed="false">
      <c r="A116" s="3"/>
      <c r="B116" s="3"/>
      <c r="C116" s="3"/>
      <c r="D116" s="4" t="n">
        <v>45</v>
      </c>
      <c r="E116" s="2" t="n">
        <f aca="false">$A$108+$B$108*D116</f>
        <v>0</v>
      </c>
      <c r="F116" s="2" t="n">
        <f aca="false">E116</f>
        <v>0</v>
      </c>
      <c r="G116" s="37" t="n">
        <f aca="false">($C$11-E116)^2</f>
        <v>208.2249</v>
      </c>
      <c r="H116" s="38" t="n">
        <f aca="false">2*(E116-$C$11)</f>
        <v>-28.86</v>
      </c>
      <c r="I116" s="2" t="n">
        <f aca="false">EXP(E116)/(1 + EXP(E116))^2</f>
        <v>0.25</v>
      </c>
      <c r="J116" s="39" t="n">
        <v>1</v>
      </c>
      <c r="K116" s="2" t="n">
        <f aca="false">D116</f>
        <v>45</v>
      </c>
      <c r="L116" s="39" t="n">
        <f aca="false">-1*$C$14*H116*I116*J116</f>
        <v>0</v>
      </c>
      <c r="M116" s="2" t="n">
        <f aca="false">-1*$C$14*H116*I116*K116</f>
        <v>0</v>
      </c>
    </row>
    <row r="117" customFormat="false" ht="15" hidden="false" customHeight="false" outlineLevel="0" collapsed="false">
      <c r="A117" s="40"/>
      <c r="B117" s="40"/>
      <c r="C117" s="1"/>
      <c r="D117" s="4" t="n">
        <v>50</v>
      </c>
      <c r="E117" s="2" t="n">
        <f aca="false">$A$108+$B$108*D117</f>
        <v>0</v>
      </c>
      <c r="F117" s="2" t="n">
        <f aca="false">E117</f>
        <v>0</v>
      </c>
      <c r="G117" s="37" t="n">
        <f aca="false">($C$12-E117)^2</f>
        <v>206.401111111111</v>
      </c>
      <c r="H117" s="38" t="n">
        <f aca="false">2*(E117-$C$12)</f>
        <v>-28.7333333333333</v>
      </c>
      <c r="I117" s="2" t="n">
        <f aca="false">EXP(E117)/(1 + EXP(E117))^2</f>
        <v>0.25</v>
      </c>
      <c r="J117" s="39" t="n">
        <v>1</v>
      </c>
      <c r="K117" s="2" t="n">
        <f aca="false">D117</f>
        <v>50</v>
      </c>
      <c r="L117" s="39" t="n">
        <f aca="false">-1*$C$14*H117*I117*J117</f>
        <v>0</v>
      </c>
      <c r="M117" s="2" t="n">
        <f aca="false">-1*$C$14*H117*I117*K117</f>
        <v>0</v>
      </c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41" t="n">
        <f aca="false">SUM(G108:G117)</f>
        <v>892.151144444445</v>
      </c>
      <c r="H118" s="30"/>
      <c r="I118" s="1"/>
      <c r="J118" s="1"/>
      <c r="K118" s="1"/>
      <c r="L118" s="42" t="n">
        <f aca="false">AVERAGE(L108:L117)</f>
        <v>0</v>
      </c>
      <c r="M118" s="42" t="n">
        <f aca="false">AVERAGE(M108:M117)</f>
        <v>0</v>
      </c>
    </row>
    <row r="120" customFormat="false" ht="15" hidden="false" customHeight="false" outlineLevel="0" collapsed="false">
      <c r="A120" s="43" t="s">
        <v>31</v>
      </c>
    </row>
    <row r="121" customFormat="false" ht="15" hidden="false" customHeight="false" outlineLevel="0" collapsed="false">
      <c r="A121" s="3" t="s">
        <v>8</v>
      </c>
      <c r="B121" s="28" t="s">
        <v>9</v>
      </c>
      <c r="C121" s="1"/>
      <c r="D121" s="3" t="s">
        <v>10</v>
      </c>
      <c r="E121" s="29" t="s">
        <v>11</v>
      </c>
      <c r="F121" s="3" t="s">
        <v>12</v>
      </c>
      <c r="G121" s="3" t="s">
        <v>13</v>
      </c>
      <c r="H121" s="30"/>
      <c r="I121" s="1"/>
      <c r="J121" s="31" t="s">
        <v>14</v>
      </c>
      <c r="K121" s="31"/>
      <c r="L121" s="32" t="s">
        <v>15</v>
      </c>
      <c r="M121" s="32"/>
    </row>
    <row r="122" customFormat="false" ht="15" hidden="false" customHeight="false" outlineLevel="0" collapsed="false">
      <c r="A122" s="33" t="s">
        <v>16</v>
      </c>
      <c r="B122" s="33" t="s">
        <v>17</v>
      </c>
      <c r="C122" s="33"/>
      <c r="D122" s="33" t="s">
        <v>18</v>
      </c>
      <c r="E122" s="33" t="s">
        <v>19</v>
      </c>
      <c r="F122" s="33" t="s">
        <v>20</v>
      </c>
      <c r="G122" s="33" t="s">
        <v>21</v>
      </c>
      <c r="H122" s="34" t="s">
        <v>22</v>
      </c>
      <c r="I122" s="35" t="s">
        <v>23</v>
      </c>
      <c r="J122" s="34" t="s">
        <v>24</v>
      </c>
      <c r="K122" s="35" t="s">
        <v>25</v>
      </c>
      <c r="L122" s="36" t="s">
        <v>24</v>
      </c>
      <c r="M122" s="35" t="s">
        <v>25</v>
      </c>
    </row>
    <row r="123" customFormat="false" ht="15" hidden="false" customHeight="false" outlineLevel="0" collapsed="false">
      <c r="A123" s="3" t="n">
        <f aca="false">A108+L118</f>
        <v>0</v>
      </c>
      <c r="B123" s="3" t="n">
        <f aca="false">B108+M118</f>
        <v>0</v>
      </c>
      <c r="C123" s="3"/>
      <c r="D123" s="4" t="n">
        <v>5</v>
      </c>
      <c r="E123" s="2" t="n">
        <f aca="false">$A$123+$B$123*D123</f>
        <v>0</v>
      </c>
      <c r="F123" s="2" t="n">
        <f aca="false">E123</f>
        <v>0</v>
      </c>
      <c r="G123" s="37" t="n">
        <f aca="false">($C$3-E123)^2</f>
        <v>4.5796</v>
      </c>
      <c r="H123" s="38" t="n">
        <f aca="false">2*(E123-$C$3)</f>
        <v>-4.28</v>
      </c>
      <c r="I123" s="2" t="n">
        <f aca="false">EXP(E123)/(1 + EXP(E123))^2</f>
        <v>0.25</v>
      </c>
      <c r="J123" s="39" t="n">
        <v>1</v>
      </c>
      <c r="K123" s="2" t="n">
        <f aca="false">D123</f>
        <v>5</v>
      </c>
      <c r="L123" s="39" t="n">
        <f aca="false">-1*$C$14*H123*I123*J123</f>
        <v>0</v>
      </c>
      <c r="M123" s="2" t="n">
        <f aca="false">-1*$C$14*H123*I123*K123</f>
        <v>0</v>
      </c>
    </row>
    <row r="124" customFormat="false" ht="15" hidden="false" customHeight="false" outlineLevel="0" collapsed="false">
      <c r="A124" s="3"/>
      <c r="B124" s="3"/>
      <c r="C124" s="3"/>
      <c r="D124" s="4" t="n">
        <v>10</v>
      </c>
      <c r="E124" s="2" t="n">
        <f aca="false">$A$123+$B$123*D124</f>
        <v>0</v>
      </c>
      <c r="F124" s="2" t="n">
        <f aca="false">E124</f>
        <v>0</v>
      </c>
      <c r="G124" s="37" t="n">
        <f aca="false">($C$4-E124)^2</f>
        <v>11.4244</v>
      </c>
      <c r="H124" s="38" t="n">
        <f aca="false">2*(E124-$C$4)</f>
        <v>-6.76</v>
      </c>
      <c r="I124" s="2" t="n">
        <f aca="false">EXP(E124)/(1 + EXP(E124))^2</f>
        <v>0.25</v>
      </c>
      <c r="J124" s="39" t="n">
        <v>1</v>
      </c>
      <c r="K124" s="2" t="n">
        <f aca="false">D124</f>
        <v>10</v>
      </c>
      <c r="L124" s="39" t="n">
        <f aca="false">-1*$C$14*H124*I124*J124</f>
        <v>0</v>
      </c>
      <c r="M124" s="2" t="n">
        <f aca="false">-1*$C$14*H124*I124*K124</f>
        <v>0</v>
      </c>
    </row>
    <row r="125" customFormat="false" ht="15" hidden="false" customHeight="false" outlineLevel="0" collapsed="false">
      <c r="A125" s="3"/>
      <c r="B125" s="3"/>
      <c r="C125" s="3"/>
      <c r="D125" s="4" t="n">
        <v>15</v>
      </c>
      <c r="E125" s="2" t="n">
        <f aca="false">$A$123+$B$123*D125</f>
        <v>0</v>
      </c>
      <c r="F125" s="2" t="n">
        <f aca="false">E125</f>
        <v>0</v>
      </c>
      <c r="G125" s="37" t="n">
        <f aca="false">($C$5-E125)^2</f>
        <v>14.8996</v>
      </c>
      <c r="H125" s="38" t="n">
        <f aca="false">2*(E125-$C$5)</f>
        <v>-7.72</v>
      </c>
      <c r="I125" s="2" t="n">
        <f aca="false">EXP(E125)/(1 + EXP(E125))^2</f>
        <v>0.25</v>
      </c>
      <c r="J125" s="39" t="n">
        <v>1</v>
      </c>
      <c r="K125" s="2" t="n">
        <f aca="false">D125</f>
        <v>15</v>
      </c>
      <c r="L125" s="39" t="n">
        <f aca="false">-1*$C$14*H125*I125*J125</f>
        <v>0</v>
      </c>
      <c r="M125" s="2" t="n">
        <f aca="false">-1*$C$14*H125*I125*K125</f>
        <v>0</v>
      </c>
    </row>
    <row r="126" customFormat="false" ht="15" hidden="false" customHeight="false" outlineLevel="0" collapsed="false">
      <c r="A126" s="3"/>
      <c r="B126" s="3"/>
      <c r="C126" s="3"/>
      <c r="D126" s="4" t="n">
        <v>20</v>
      </c>
      <c r="E126" s="2" t="n">
        <f aca="false">$A$123+$B$123*D126</f>
        <v>0</v>
      </c>
      <c r="F126" s="2" t="n">
        <f aca="false">E126</f>
        <v>0</v>
      </c>
      <c r="G126" s="37" t="n">
        <f aca="false">($C$6-E126)^2</f>
        <v>20.9764</v>
      </c>
      <c r="H126" s="38" t="n">
        <f aca="false">2*(E126-$C$6)</f>
        <v>-9.16</v>
      </c>
      <c r="I126" s="2" t="n">
        <f aca="false">EXP(E126)/(1 + EXP(E126))^2</f>
        <v>0.25</v>
      </c>
      <c r="J126" s="39" t="n">
        <v>1</v>
      </c>
      <c r="K126" s="2" t="n">
        <f aca="false">D126</f>
        <v>20</v>
      </c>
      <c r="L126" s="39" t="n">
        <f aca="false">-1*$C$14*H126*I126*J126</f>
        <v>0</v>
      </c>
      <c r="M126" s="2" t="n">
        <f aca="false">-1*$C$14*H126*I126*K126</f>
        <v>0</v>
      </c>
    </row>
    <row r="127" customFormat="false" ht="15" hidden="false" customHeight="false" outlineLevel="0" collapsed="false">
      <c r="A127" s="3"/>
      <c r="B127" s="3"/>
      <c r="C127" s="3"/>
      <c r="D127" s="4" t="n">
        <v>25</v>
      </c>
      <c r="E127" s="2" t="n">
        <f aca="false">$A$123+$B$123*D127</f>
        <v>0</v>
      </c>
      <c r="F127" s="2" t="n">
        <f aca="false">E127</f>
        <v>0</v>
      </c>
      <c r="G127" s="37" t="n">
        <f aca="false">($C$7-E127)^2</f>
        <v>75.4002777777778</v>
      </c>
      <c r="H127" s="38" t="n">
        <f aca="false">2*(E127-$C$7)</f>
        <v>-17.3666666666667</v>
      </c>
      <c r="I127" s="2" t="n">
        <f aca="false">EXP(E127)/(1 + EXP(E127))^2</f>
        <v>0.25</v>
      </c>
      <c r="J127" s="39" t="n">
        <v>1</v>
      </c>
      <c r="K127" s="2" t="n">
        <f aca="false">D127</f>
        <v>25</v>
      </c>
      <c r="L127" s="39" t="n">
        <f aca="false">-1*$C$14*H127*I127*J127</f>
        <v>0</v>
      </c>
      <c r="M127" s="2" t="n">
        <f aca="false">-1*$C$14*H127*I127*K127</f>
        <v>0</v>
      </c>
    </row>
    <row r="128" customFormat="false" ht="15" hidden="false" customHeight="false" outlineLevel="0" collapsed="false">
      <c r="A128" s="3"/>
      <c r="B128" s="3"/>
      <c r="C128" s="3"/>
      <c r="D128" s="4" t="n">
        <v>30</v>
      </c>
      <c r="E128" s="2" t="n">
        <f aca="false">$A$123+$B$123*D128</f>
        <v>0</v>
      </c>
      <c r="F128" s="2" t="n">
        <f aca="false">E128</f>
        <v>0</v>
      </c>
      <c r="G128" s="37" t="n">
        <f aca="false">($C$8-E128)^2</f>
        <v>80.2816</v>
      </c>
      <c r="H128" s="38" t="n">
        <f aca="false">2*(E128-$C$8)</f>
        <v>-17.92</v>
      </c>
      <c r="I128" s="2" t="n">
        <f aca="false">EXP(E128)/(1 + EXP(E128))^2</f>
        <v>0.25</v>
      </c>
      <c r="J128" s="39" t="n">
        <v>1</v>
      </c>
      <c r="K128" s="2" t="n">
        <f aca="false">D128</f>
        <v>30</v>
      </c>
      <c r="L128" s="39" t="n">
        <f aca="false">-1*$C$14*H128*I128*J128</f>
        <v>0</v>
      </c>
      <c r="M128" s="2" t="n">
        <f aca="false">-1*$C$14*H128*I128*K128</f>
        <v>0</v>
      </c>
    </row>
    <row r="129" customFormat="false" ht="15" hidden="false" customHeight="false" outlineLevel="0" collapsed="false">
      <c r="A129" s="3"/>
      <c r="B129" s="3"/>
      <c r="C129" s="3"/>
      <c r="D129" s="4" t="n">
        <v>35</v>
      </c>
      <c r="E129" s="2" t="n">
        <f aca="false">$A$123+$B$123*D129</f>
        <v>0</v>
      </c>
      <c r="F129" s="2" t="n">
        <f aca="false">E129</f>
        <v>0</v>
      </c>
      <c r="G129" s="37" t="n">
        <f aca="false">($C$9-E129)^2</f>
        <v>101.136544444444</v>
      </c>
      <c r="H129" s="38" t="n">
        <f aca="false">2*(E129-$C$9)</f>
        <v>-20.1133333333333</v>
      </c>
      <c r="I129" s="2" t="n">
        <f aca="false">EXP(E129)/(1 + EXP(E129))^2</f>
        <v>0.25</v>
      </c>
      <c r="J129" s="39" t="n">
        <v>1</v>
      </c>
      <c r="K129" s="2" t="n">
        <f aca="false">D129</f>
        <v>35</v>
      </c>
      <c r="L129" s="39" t="n">
        <f aca="false">-1*$C$14*H129*I129*J129</f>
        <v>0</v>
      </c>
      <c r="M129" s="2" t="n">
        <f aca="false">-1*$C$14*H129*I129*K129</f>
        <v>0</v>
      </c>
    </row>
    <row r="130" customFormat="false" ht="15" hidden="false" customHeight="false" outlineLevel="0" collapsed="false">
      <c r="A130" s="3"/>
      <c r="B130" s="3"/>
      <c r="C130" s="3"/>
      <c r="D130" s="4" t="n">
        <v>40</v>
      </c>
      <c r="E130" s="2" t="n">
        <f aca="false">$A$123+$B$123*D130</f>
        <v>0</v>
      </c>
      <c r="F130" s="2" t="n">
        <f aca="false">E130</f>
        <v>0</v>
      </c>
      <c r="G130" s="37" t="n">
        <f aca="false">($C$10-E130)^2</f>
        <v>168.826711111111</v>
      </c>
      <c r="H130" s="38" t="n">
        <f aca="false">2*(E130-$C$10)</f>
        <v>-25.9866666666667</v>
      </c>
      <c r="I130" s="2" t="n">
        <f aca="false">EXP(E130)/(1 + EXP(E130))^2</f>
        <v>0.25</v>
      </c>
      <c r="J130" s="39" t="n">
        <v>1</v>
      </c>
      <c r="K130" s="2" t="n">
        <f aca="false">D130</f>
        <v>40</v>
      </c>
      <c r="L130" s="39" t="n">
        <f aca="false">-1*$C$14*H130*I130*J130</f>
        <v>0</v>
      </c>
      <c r="M130" s="2" t="n">
        <f aca="false">-1*$C$14*H130*I130*K130</f>
        <v>0</v>
      </c>
    </row>
    <row r="131" customFormat="false" ht="15" hidden="false" customHeight="false" outlineLevel="0" collapsed="false">
      <c r="A131" s="3"/>
      <c r="B131" s="3"/>
      <c r="C131" s="3"/>
      <c r="D131" s="4" t="n">
        <v>45</v>
      </c>
      <c r="E131" s="2" t="n">
        <f aca="false">$A$123+$B$123*D131</f>
        <v>0</v>
      </c>
      <c r="F131" s="2" t="n">
        <f aca="false">E131</f>
        <v>0</v>
      </c>
      <c r="G131" s="37" t="n">
        <f aca="false">($C$11-E131)^2</f>
        <v>208.2249</v>
      </c>
      <c r="H131" s="38" t="n">
        <f aca="false">2*(E131-$C$11)</f>
        <v>-28.86</v>
      </c>
      <c r="I131" s="2" t="n">
        <f aca="false">EXP(E131)/(1 + EXP(E131))^2</f>
        <v>0.25</v>
      </c>
      <c r="J131" s="39" t="n">
        <v>1</v>
      </c>
      <c r="K131" s="2" t="n">
        <f aca="false">D131</f>
        <v>45</v>
      </c>
      <c r="L131" s="39" t="n">
        <f aca="false">-1*$C$14*H131*I131*J131</f>
        <v>0</v>
      </c>
      <c r="M131" s="2" t="n">
        <f aca="false">-1*$C$14*H131*I131*K131</f>
        <v>0</v>
      </c>
    </row>
    <row r="132" customFormat="false" ht="15" hidden="false" customHeight="false" outlineLevel="0" collapsed="false">
      <c r="A132" s="40"/>
      <c r="B132" s="40"/>
      <c r="C132" s="1"/>
      <c r="D132" s="4" t="n">
        <v>50</v>
      </c>
      <c r="E132" s="2" t="n">
        <f aca="false">$A$123+$B$123*D132</f>
        <v>0</v>
      </c>
      <c r="F132" s="2" t="n">
        <f aca="false">E132</f>
        <v>0</v>
      </c>
      <c r="G132" s="37" t="n">
        <f aca="false">($C$12-E132)^2</f>
        <v>206.401111111111</v>
      </c>
      <c r="H132" s="38" t="n">
        <f aca="false">2*(E132-$C$12)</f>
        <v>-28.7333333333333</v>
      </c>
      <c r="I132" s="2" t="n">
        <f aca="false">EXP(E132)/(1 + EXP(E132))^2</f>
        <v>0.25</v>
      </c>
      <c r="J132" s="39" t="n">
        <v>1</v>
      </c>
      <c r="K132" s="2" t="n">
        <f aca="false">D132</f>
        <v>50</v>
      </c>
      <c r="L132" s="39" t="n">
        <f aca="false">-1*$C$14*H132*I132*J132</f>
        <v>0</v>
      </c>
      <c r="M132" s="2" t="n">
        <f aca="false">-1*$C$14*H132*I132*K132</f>
        <v>0</v>
      </c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41" t="n">
        <f aca="false">SUM(G123:G132)</f>
        <v>892.151144444445</v>
      </c>
      <c r="H133" s="30"/>
      <c r="I133" s="1"/>
      <c r="J133" s="1"/>
      <c r="K133" s="1"/>
      <c r="L133" s="42" t="n">
        <f aca="false">AVERAGE(L123:L132)</f>
        <v>0</v>
      </c>
      <c r="M133" s="42" t="n">
        <f aca="false">AVERAGE(M123:M132)</f>
        <v>0</v>
      </c>
    </row>
    <row r="135" customFormat="false" ht="15" hidden="false" customHeight="false" outlineLevel="0" collapsed="false">
      <c r="A135" s="43" t="s">
        <v>32</v>
      </c>
    </row>
    <row r="136" customFormat="false" ht="15" hidden="false" customHeight="false" outlineLevel="0" collapsed="false">
      <c r="A136" s="3" t="s">
        <v>8</v>
      </c>
      <c r="B136" s="28" t="s">
        <v>9</v>
      </c>
      <c r="C136" s="1"/>
      <c r="D136" s="3" t="s">
        <v>10</v>
      </c>
      <c r="E136" s="29" t="s">
        <v>11</v>
      </c>
      <c r="F136" s="3" t="s">
        <v>12</v>
      </c>
      <c r="G136" s="3" t="s">
        <v>13</v>
      </c>
      <c r="H136" s="30"/>
      <c r="I136" s="1"/>
      <c r="J136" s="31" t="s">
        <v>14</v>
      </c>
      <c r="K136" s="31"/>
      <c r="L136" s="32" t="s">
        <v>15</v>
      </c>
      <c r="M136" s="32"/>
    </row>
    <row r="137" customFormat="false" ht="15" hidden="false" customHeight="false" outlineLevel="0" collapsed="false">
      <c r="A137" s="33" t="s">
        <v>16</v>
      </c>
      <c r="B137" s="33" t="s">
        <v>17</v>
      </c>
      <c r="C137" s="33"/>
      <c r="D137" s="33" t="s">
        <v>18</v>
      </c>
      <c r="E137" s="33" t="s">
        <v>19</v>
      </c>
      <c r="F137" s="33" t="s">
        <v>20</v>
      </c>
      <c r="G137" s="33" t="s">
        <v>21</v>
      </c>
      <c r="H137" s="34" t="s">
        <v>22</v>
      </c>
      <c r="I137" s="35" t="s">
        <v>23</v>
      </c>
      <c r="J137" s="34" t="s">
        <v>24</v>
      </c>
      <c r="K137" s="35" t="s">
        <v>25</v>
      </c>
      <c r="L137" s="36" t="s">
        <v>24</v>
      </c>
      <c r="M137" s="35" t="s">
        <v>25</v>
      </c>
    </row>
    <row r="138" customFormat="false" ht="15" hidden="false" customHeight="false" outlineLevel="0" collapsed="false">
      <c r="A138" s="3" t="n">
        <f aca="false">A123+L133</f>
        <v>0</v>
      </c>
      <c r="B138" s="3" t="n">
        <f aca="false">B123+M133</f>
        <v>0</v>
      </c>
      <c r="C138" s="3"/>
      <c r="D138" s="4" t="n">
        <v>5</v>
      </c>
      <c r="E138" s="2" t="n">
        <f aca="false">$A$138+$B$138*D138</f>
        <v>0</v>
      </c>
      <c r="F138" s="2" t="n">
        <f aca="false">E138</f>
        <v>0</v>
      </c>
      <c r="G138" s="37" t="n">
        <f aca="false">($C$3-E138)^2</f>
        <v>4.5796</v>
      </c>
      <c r="H138" s="38" t="n">
        <f aca="false">2*(E138-$C$3)</f>
        <v>-4.28</v>
      </c>
      <c r="I138" s="2" t="n">
        <f aca="false">EXP(E138)/(1 + EXP(E138))^2</f>
        <v>0.25</v>
      </c>
      <c r="J138" s="39" t="n">
        <v>1</v>
      </c>
      <c r="K138" s="2" t="n">
        <f aca="false">D138</f>
        <v>5</v>
      </c>
      <c r="L138" s="39" t="n">
        <f aca="false">-1*$C$14*H138*I138*J138</f>
        <v>0</v>
      </c>
      <c r="M138" s="2" t="n">
        <f aca="false">-1*$C$14*H138*I138*K138</f>
        <v>0</v>
      </c>
    </row>
    <row r="139" customFormat="false" ht="15" hidden="false" customHeight="false" outlineLevel="0" collapsed="false">
      <c r="A139" s="3"/>
      <c r="B139" s="3"/>
      <c r="C139" s="3"/>
      <c r="D139" s="4" t="n">
        <v>10</v>
      </c>
      <c r="E139" s="2" t="n">
        <f aca="false">$A$138+$B$138*D139</f>
        <v>0</v>
      </c>
      <c r="F139" s="2" t="n">
        <f aca="false">E139</f>
        <v>0</v>
      </c>
      <c r="G139" s="37" t="n">
        <f aca="false">($C$4-E139)^2</f>
        <v>11.4244</v>
      </c>
      <c r="H139" s="38" t="n">
        <f aca="false">2*(E139-$C$4)</f>
        <v>-6.76</v>
      </c>
      <c r="I139" s="2" t="n">
        <f aca="false">EXP(E139)/(1 + EXP(E139))^2</f>
        <v>0.25</v>
      </c>
      <c r="J139" s="39" t="n">
        <v>1</v>
      </c>
      <c r="K139" s="2" t="n">
        <f aca="false">D139</f>
        <v>10</v>
      </c>
      <c r="L139" s="39" t="n">
        <f aca="false">-1*$C$14*H139*I139*J139</f>
        <v>0</v>
      </c>
      <c r="M139" s="2" t="n">
        <f aca="false">-1*$C$14*H139*I139*K139</f>
        <v>0</v>
      </c>
    </row>
    <row r="140" customFormat="false" ht="15" hidden="false" customHeight="false" outlineLevel="0" collapsed="false">
      <c r="A140" s="3"/>
      <c r="B140" s="3"/>
      <c r="C140" s="3"/>
      <c r="D140" s="4" t="n">
        <v>15</v>
      </c>
      <c r="E140" s="2" t="n">
        <f aca="false">$A$138+$B$138*D140</f>
        <v>0</v>
      </c>
      <c r="F140" s="2" t="n">
        <f aca="false">E140</f>
        <v>0</v>
      </c>
      <c r="G140" s="37" t="n">
        <f aca="false">($C$5-E140)^2</f>
        <v>14.8996</v>
      </c>
      <c r="H140" s="38" t="n">
        <f aca="false">2*(E140-$C$5)</f>
        <v>-7.72</v>
      </c>
      <c r="I140" s="2" t="n">
        <f aca="false">EXP(E140)/(1 + EXP(E140))^2</f>
        <v>0.25</v>
      </c>
      <c r="J140" s="39" t="n">
        <v>1</v>
      </c>
      <c r="K140" s="2" t="n">
        <f aca="false">D140</f>
        <v>15</v>
      </c>
      <c r="L140" s="39" t="n">
        <f aca="false">-1*$C$14*H140*I140*J140</f>
        <v>0</v>
      </c>
      <c r="M140" s="2" t="n">
        <f aca="false">-1*$C$14*H140*I140*K140</f>
        <v>0</v>
      </c>
    </row>
    <row r="141" customFormat="false" ht="15" hidden="false" customHeight="false" outlineLevel="0" collapsed="false">
      <c r="A141" s="3"/>
      <c r="B141" s="3"/>
      <c r="C141" s="3"/>
      <c r="D141" s="4" t="n">
        <v>20</v>
      </c>
      <c r="E141" s="2" t="n">
        <f aca="false">$A$138+$B$138*D141</f>
        <v>0</v>
      </c>
      <c r="F141" s="2" t="n">
        <f aca="false">E141</f>
        <v>0</v>
      </c>
      <c r="G141" s="37" t="n">
        <f aca="false">($C$6-E141)^2</f>
        <v>20.9764</v>
      </c>
      <c r="H141" s="38" t="n">
        <f aca="false">2*(E141-$C$6)</f>
        <v>-9.16</v>
      </c>
      <c r="I141" s="2" t="n">
        <f aca="false">EXP(E141)/(1 + EXP(E141))^2</f>
        <v>0.25</v>
      </c>
      <c r="J141" s="39" t="n">
        <v>1</v>
      </c>
      <c r="K141" s="2" t="n">
        <f aca="false">D141</f>
        <v>20</v>
      </c>
      <c r="L141" s="39" t="n">
        <f aca="false">-1*$C$14*H141*I141*J141</f>
        <v>0</v>
      </c>
      <c r="M141" s="2" t="n">
        <f aca="false">-1*$C$14*H141*I141*K141</f>
        <v>0</v>
      </c>
    </row>
    <row r="142" customFormat="false" ht="15" hidden="false" customHeight="false" outlineLevel="0" collapsed="false">
      <c r="A142" s="3"/>
      <c r="B142" s="3"/>
      <c r="C142" s="3"/>
      <c r="D142" s="4" t="n">
        <v>25</v>
      </c>
      <c r="E142" s="2" t="n">
        <f aca="false">$A$138+$B$138*D142</f>
        <v>0</v>
      </c>
      <c r="F142" s="2" t="n">
        <f aca="false">E142</f>
        <v>0</v>
      </c>
      <c r="G142" s="37" t="n">
        <f aca="false">($C$7-E142)^2</f>
        <v>75.4002777777778</v>
      </c>
      <c r="H142" s="38" t="n">
        <f aca="false">2*(E142-$C$7)</f>
        <v>-17.3666666666667</v>
      </c>
      <c r="I142" s="2" t="n">
        <f aca="false">EXP(E142)/(1 + EXP(E142))^2</f>
        <v>0.25</v>
      </c>
      <c r="J142" s="39" t="n">
        <v>1</v>
      </c>
      <c r="K142" s="2" t="n">
        <f aca="false">D142</f>
        <v>25</v>
      </c>
      <c r="L142" s="39" t="n">
        <f aca="false">-1*$C$14*H142*I142*J142</f>
        <v>0</v>
      </c>
      <c r="M142" s="2" t="n">
        <f aca="false">-1*$C$14*H142*I142*K142</f>
        <v>0</v>
      </c>
    </row>
    <row r="143" customFormat="false" ht="15" hidden="false" customHeight="false" outlineLevel="0" collapsed="false">
      <c r="A143" s="3"/>
      <c r="B143" s="3"/>
      <c r="C143" s="3"/>
      <c r="D143" s="4" t="n">
        <v>30</v>
      </c>
      <c r="E143" s="2" t="n">
        <f aca="false">$A$138+$B$138*D143</f>
        <v>0</v>
      </c>
      <c r="F143" s="2" t="n">
        <f aca="false">E143</f>
        <v>0</v>
      </c>
      <c r="G143" s="37" t="n">
        <f aca="false">($C$8-E143)^2</f>
        <v>80.2816</v>
      </c>
      <c r="H143" s="38" t="n">
        <f aca="false">2*(E143-$C$8)</f>
        <v>-17.92</v>
      </c>
      <c r="I143" s="2" t="n">
        <f aca="false">EXP(E143)/(1 + EXP(E143))^2</f>
        <v>0.25</v>
      </c>
      <c r="J143" s="39" t="n">
        <v>1</v>
      </c>
      <c r="K143" s="2" t="n">
        <f aca="false">D143</f>
        <v>30</v>
      </c>
      <c r="L143" s="39" t="n">
        <f aca="false">-1*$C$14*H143*I143*J143</f>
        <v>0</v>
      </c>
      <c r="M143" s="2" t="n">
        <f aca="false">-1*$C$14*H143*I143*K143</f>
        <v>0</v>
      </c>
    </row>
    <row r="144" customFormat="false" ht="15" hidden="false" customHeight="false" outlineLevel="0" collapsed="false">
      <c r="A144" s="3"/>
      <c r="B144" s="3"/>
      <c r="C144" s="3"/>
      <c r="D144" s="4" t="n">
        <v>35</v>
      </c>
      <c r="E144" s="2" t="n">
        <f aca="false">$A$138+$B$138*D144</f>
        <v>0</v>
      </c>
      <c r="F144" s="2" t="n">
        <f aca="false">E144</f>
        <v>0</v>
      </c>
      <c r="G144" s="37" t="n">
        <f aca="false">($C$9-E144)^2</f>
        <v>101.136544444444</v>
      </c>
      <c r="H144" s="38" t="n">
        <f aca="false">2*(E144-$C$9)</f>
        <v>-20.1133333333333</v>
      </c>
      <c r="I144" s="2" t="n">
        <f aca="false">EXP(E144)/(1 + EXP(E144))^2</f>
        <v>0.25</v>
      </c>
      <c r="J144" s="39" t="n">
        <v>1</v>
      </c>
      <c r="K144" s="2" t="n">
        <f aca="false">D144</f>
        <v>35</v>
      </c>
      <c r="L144" s="39" t="n">
        <f aca="false">-1*$C$14*H144*I144*J144</f>
        <v>0</v>
      </c>
      <c r="M144" s="2" t="n">
        <f aca="false">-1*$C$14*H144*I144*K144</f>
        <v>0</v>
      </c>
    </row>
    <row r="145" customFormat="false" ht="15" hidden="false" customHeight="false" outlineLevel="0" collapsed="false">
      <c r="A145" s="3"/>
      <c r="B145" s="3"/>
      <c r="C145" s="3"/>
      <c r="D145" s="4" t="n">
        <v>40</v>
      </c>
      <c r="E145" s="2" t="n">
        <f aca="false">$A$138+$B$138*D145</f>
        <v>0</v>
      </c>
      <c r="F145" s="2" t="n">
        <f aca="false">E145</f>
        <v>0</v>
      </c>
      <c r="G145" s="37" t="n">
        <f aca="false">($C$10-E145)^2</f>
        <v>168.826711111111</v>
      </c>
      <c r="H145" s="38" t="n">
        <f aca="false">2*(E145-$C$10)</f>
        <v>-25.9866666666667</v>
      </c>
      <c r="I145" s="2" t="n">
        <f aca="false">EXP(E145)/(1 + EXP(E145))^2</f>
        <v>0.25</v>
      </c>
      <c r="J145" s="39" t="n">
        <v>1</v>
      </c>
      <c r="K145" s="2" t="n">
        <f aca="false">D145</f>
        <v>40</v>
      </c>
      <c r="L145" s="39" t="n">
        <f aca="false">-1*$C$14*H145*I145*J145</f>
        <v>0</v>
      </c>
      <c r="M145" s="2" t="n">
        <f aca="false">-1*$C$14*H145*I145*K145</f>
        <v>0</v>
      </c>
    </row>
    <row r="146" customFormat="false" ht="15" hidden="false" customHeight="false" outlineLevel="0" collapsed="false">
      <c r="A146" s="3"/>
      <c r="B146" s="3"/>
      <c r="C146" s="3"/>
      <c r="D146" s="4" t="n">
        <v>45</v>
      </c>
      <c r="E146" s="2" t="n">
        <f aca="false">$A$138+$B$138*D146</f>
        <v>0</v>
      </c>
      <c r="F146" s="2" t="n">
        <f aca="false">E146</f>
        <v>0</v>
      </c>
      <c r="G146" s="37" t="n">
        <f aca="false">($C$11-E146)^2</f>
        <v>208.2249</v>
      </c>
      <c r="H146" s="38" t="n">
        <f aca="false">2*(E146-$C$11)</f>
        <v>-28.86</v>
      </c>
      <c r="I146" s="2" t="n">
        <f aca="false">EXP(E146)/(1 + EXP(E146))^2</f>
        <v>0.25</v>
      </c>
      <c r="J146" s="39" t="n">
        <v>1</v>
      </c>
      <c r="K146" s="2" t="n">
        <f aca="false">D146</f>
        <v>45</v>
      </c>
      <c r="L146" s="39" t="n">
        <f aca="false">-1*$C$14*H146*I146*J146</f>
        <v>0</v>
      </c>
      <c r="M146" s="2" t="n">
        <f aca="false">-1*$C$14*H146*I146*K146</f>
        <v>0</v>
      </c>
    </row>
    <row r="147" customFormat="false" ht="15" hidden="false" customHeight="false" outlineLevel="0" collapsed="false">
      <c r="A147" s="40"/>
      <c r="B147" s="40"/>
      <c r="C147" s="1"/>
      <c r="D147" s="4" t="n">
        <v>50</v>
      </c>
      <c r="E147" s="2" t="n">
        <f aca="false">$A$138+$B$138*D147</f>
        <v>0</v>
      </c>
      <c r="F147" s="2" t="n">
        <f aca="false">E147</f>
        <v>0</v>
      </c>
      <c r="G147" s="37" t="n">
        <f aca="false">($C$12-E147)^2</f>
        <v>206.401111111111</v>
      </c>
      <c r="H147" s="38" t="n">
        <f aca="false">2*(E147-$C$12)</f>
        <v>-28.7333333333333</v>
      </c>
      <c r="I147" s="2" t="n">
        <f aca="false">EXP(E147)/(1 + EXP(E147))^2</f>
        <v>0.25</v>
      </c>
      <c r="J147" s="39" t="n">
        <v>1</v>
      </c>
      <c r="K147" s="2" t="n">
        <f aca="false">D147</f>
        <v>50</v>
      </c>
      <c r="L147" s="39" t="n">
        <f aca="false">-1*$C$14*H147*I147*J147</f>
        <v>0</v>
      </c>
      <c r="M147" s="2" t="n">
        <f aca="false">-1*$C$14*H147*I147*K147</f>
        <v>0</v>
      </c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41" t="n">
        <f aca="false">SUM(G138:G147)</f>
        <v>892.151144444445</v>
      </c>
      <c r="H148" s="30"/>
      <c r="I148" s="1"/>
      <c r="J148" s="1"/>
      <c r="K148" s="1"/>
      <c r="L148" s="42" t="n">
        <f aca="false">AVERAGE(L138:L147)</f>
        <v>0</v>
      </c>
      <c r="M148" s="42" t="n">
        <f aca="false">AVERAGE(M138:M147)</f>
        <v>0</v>
      </c>
    </row>
    <row r="150" customFormat="false" ht="15" hidden="false" customHeight="false" outlineLevel="0" collapsed="false">
      <c r="A150" s="43" t="s">
        <v>33</v>
      </c>
    </row>
    <row r="151" customFormat="false" ht="15" hidden="false" customHeight="false" outlineLevel="0" collapsed="false">
      <c r="A151" s="3" t="s">
        <v>8</v>
      </c>
      <c r="B151" s="28" t="s">
        <v>9</v>
      </c>
      <c r="C151" s="1"/>
      <c r="D151" s="3" t="s">
        <v>10</v>
      </c>
      <c r="E151" s="29" t="s">
        <v>11</v>
      </c>
      <c r="F151" s="3" t="s">
        <v>12</v>
      </c>
      <c r="G151" s="3" t="s">
        <v>13</v>
      </c>
      <c r="H151" s="30"/>
      <c r="I151" s="1"/>
      <c r="J151" s="31" t="s">
        <v>14</v>
      </c>
      <c r="K151" s="31"/>
      <c r="L151" s="32" t="s">
        <v>15</v>
      </c>
      <c r="M151" s="32"/>
    </row>
    <row r="152" customFormat="false" ht="15" hidden="false" customHeight="false" outlineLevel="0" collapsed="false">
      <c r="A152" s="33" t="s">
        <v>16</v>
      </c>
      <c r="B152" s="33" t="s">
        <v>17</v>
      </c>
      <c r="C152" s="33"/>
      <c r="D152" s="33" t="s">
        <v>18</v>
      </c>
      <c r="E152" s="33" t="s">
        <v>19</v>
      </c>
      <c r="F152" s="33" t="s">
        <v>20</v>
      </c>
      <c r="G152" s="33" t="s">
        <v>21</v>
      </c>
      <c r="H152" s="34" t="s">
        <v>22</v>
      </c>
      <c r="I152" s="35" t="s">
        <v>23</v>
      </c>
      <c r="J152" s="34" t="s">
        <v>24</v>
      </c>
      <c r="K152" s="35" t="s">
        <v>25</v>
      </c>
      <c r="L152" s="36" t="s">
        <v>24</v>
      </c>
      <c r="M152" s="35" t="s">
        <v>25</v>
      </c>
    </row>
    <row r="153" customFormat="false" ht="15" hidden="false" customHeight="false" outlineLevel="0" collapsed="false">
      <c r="A153" s="3" t="n">
        <f aca="false">A138+L148</f>
        <v>0</v>
      </c>
      <c r="B153" s="3" t="n">
        <f aca="false">B138+M148</f>
        <v>0</v>
      </c>
      <c r="C153" s="3"/>
      <c r="D153" s="4" t="n">
        <v>5</v>
      </c>
      <c r="E153" s="2" t="n">
        <f aca="false">$A$153+$B$153*D153</f>
        <v>0</v>
      </c>
      <c r="F153" s="2" t="n">
        <f aca="false">E153</f>
        <v>0</v>
      </c>
      <c r="G153" s="37" t="n">
        <f aca="false">($C$3-E153)^2</f>
        <v>4.5796</v>
      </c>
      <c r="H153" s="38" t="n">
        <f aca="false">2*(E153-$C$3)</f>
        <v>-4.28</v>
      </c>
      <c r="I153" s="2" t="n">
        <f aca="false">EXP(E153)/(1 + EXP(E153))^2</f>
        <v>0.25</v>
      </c>
      <c r="J153" s="39" t="n">
        <v>1</v>
      </c>
      <c r="K153" s="2" t="n">
        <f aca="false">D153</f>
        <v>5</v>
      </c>
      <c r="L153" s="39" t="n">
        <f aca="false">-1*$C$14*H153*I153*J153</f>
        <v>0</v>
      </c>
      <c r="M153" s="2" t="n">
        <f aca="false">-1*$C$14*H153*I153*K153</f>
        <v>0</v>
      </c>
    </row>
    <row r="154" customFormat="false" ht="15" hidden="false" customHeight="false" outlineLevel="0" collapsed="false">
      <c r="A154" s="3"/>
      <c r="B154" s="3"/>
      <c r="C154" s="3"/>
      <c r="D154" s="4" t="n">
        <v>10</v>
      </c>
      <c r="E154" s="2" t="n">
        <f aca="false">$A$153+$B$153*D154</f>
        <v>0</v>
      </c>
      <c r="F154" s="2" t="n">
        <f aca="false">E154</f>
        <v>0</v>
      </c>
      <c r="G154" s="37" t="n">
        <f aca="false">($C$4-E154)^2</f>
        <v>11.4244</v>
      </c>
      <c r="H154" s="38" t="n">
        <f aca="false">2*(E154-$C$4)</f>
        <v>-6.76</v>
      </c>
      <c r="I154" s="2" t="n">
        <f aca="false">EXP(E154)/(1 + EXP(E154))^2</f>
        <v>0.25</v>
      </c>
      <c r="J154" s="39" t="n">
        <v>1</v>
      </c>
      <c r="K154" s="2" t="n">
        <f aca="false">D154</f>
        <v>10</v>
      </c>
      <c r="L154" s="39" t="n">
        <f aca="false">-1*$C$14*H154*I154*J154</f>
        <v>0</v>
      </c>
      <c r="M154" s="2" t="n">
        <f aca="false">-1*$C$14*H154*I154*K154</f>
        <v>0</v>
      </c>
    </row>
    <row r="155" customFormat="false" ht="15" hidden="false" customHeight="false" outlineLevel="0" collapsed="false">
      <c r="A155" s="3"/>
      <c r="B155" s="3"/>
      <c r="C155" s="3"/>
      <c r="D155" s="4" t="n">
        <v>15</v>
      </c>
      <c r="E155" s="2" t="n">
        <f aca="false">$A$153+$B$153*D155</f>
        <v>0</v>
      </c>
      <c r="F155" s="2" t="n">
        <f aca="false">E155</f>
        <v>0</v>
      </c>
      <c r="G155" s="37" t="n">
        <f aca="false">($C$5-E155)^2</f>
        <v>14.8996</v>
      </c>
      <c r="H155" s="38" t="n">
        <f aca="false">2*(E155-$C$5)</f>
        <v>-7.72</v>
      </c>
      <c r="I155" s="2" t="n">
        <f aca="false">EXP(E155)/(1 + EXP(E155))^2</f>
        <v>0.25</v>
      </c>
      <c r="J155" s="39" t="n">
        <v>1</v>
      </c>
      <c r="K155" s="2" t="n">
        <f aca="false">D155</f>
        <v>15</v>
      </c>
      <c r="L155" s="39" t="n">
        <f aca="false">-1*$C$14*H155*I155*J155</f>
        <v>0</v>
      </c>
      <c r="M155" s="2" t="n">
        <f aca="false">-1*$C$14*H155*I155*K155</f>
        <v>0</v>
      </c>
    </row>
    <row r="156" customFormat="false" ht="15" hidden="false" customHeight="false" outlineLevel="0" collapsed="false">
      <c r="A156" s="3"/>
      <c r="B156" s="3"/>
      <c r="C156" s="3"/>
      <c r="D156" s="4" t="n">
        <v>20</v>
      </c>
      <c r="E156" s="2" t="n">
        <f aca="false">$A$153+$B$153*D156</f>
        <v>0</v>
      </c>
      <c r="F156" s="2" t="n">
        <f aca="false">E156</f>
        <v>0</v>
      </c>
      <c r="G156" s="37" t="n">
        <f aca="false">($C$6-E156)^2</f>
        <v>20.9764</v>
      </c>
      <c r="H156" s="38" t="n">
        <f aca="false">2*(E156-$C$6)</f>
        <v>-9.16</v>
      </c>
      <c r="I156" s="2" t="n">
        <f aca="false">EXP(E156)/(1 + EXP(E156))^2</f>
        <v>0.25</v>
      </c>
      <c r="J156" s="39" t="n">
        <v>1</v>
      </c>
      <c r="K156" s="2" t="n">
        <f aca="false">D156</f>
        <v>20</v>
      </c>
      <c r="L156" s="39" t="n">
        <f aca="false">-1*$C$14*H156*I156*J156</f>
        <v>0</v>
      </c>
      <c r="M156" s="2" t="n">
        <f aca="false">-1*$C$14*H156*I156*K156</f>
        <v>0</v>
      </c>
    </row>
    <row r="157" customFormat="false" ht="15" hidden="false" customHeight="false" outlineLevel="0" collapsed="false">
      <c r="A157" s="3"/>
      <c r="B157" s="3"/>
      <c r="C157" s="3"/>
      <c r="D157" s="4" t="n">
        <v>25</v>
      </c>
      <c r="E157" s="2" t="n">
        <f aca="false">$A$153+$B$153*D157</f>
        <v>0</v>
      </c>
      <c r="F157" s="2" t="n">
        <f aca="false">E157</f>
        <v>0</v>
      </c>
      <c r="G157" s="37" t="n">
        <f aca="false">($C$7-E157)^2</f>
        <v>75.4002777777778</v>
      </c>
      <c r="H157" s="38" t="n">
        <f aca="false">2*(E157-$C$7)</f>
        <v>-17.3666666666667</v>
      </c>
      <c r="I157" s="2" t="n">
        <f aca="false">EXP(E157)/(1 + EXP(E157))^2</f>
        <v>0.25</v>
      </c>
      <c r="J157" s="39" t="n">
        <v>1</v>
      </c>
      <c r="K157" s="2" t="n">
        <f aca="false">D157</f>
        <v>25</v>
      </c>
      <c r="L157" s="39" t="n">
        <f aca="false">-1*$C$14*H157*I157*J157</f>
        <v>0</v>
      </c>
      <c r="M157" s="2" t="n">
        <f aca="false">-1*$C$14*H157*I157*K157</f>
        <v>0</v>
      </c>
    </row>
    <row r="158" customFormat="false" ht="15" hidden="false" customHeight="false" outlineLevel="0" collapsed="false">
      <c r="A158" s="3"/>
      <c r="B158" s="3"/>
      <c r="C158" s="3"/>
      <c r="D158" s="4" t="n">
        <v>30</v>
      </c>
      <c r="E158" s="2" t="n">
        <f aca="false">$A$153+$B$153*D158</f>
        <v>0</v>
      </c>
      <c r="F158" s="2" t="n">
        <f aca="false">E158</f>
        <v>0</v>
      </c>
      <c r="G158" s="37" t="n">
        <f aca="false">($C$8-E158)^2</f>
        <v>80.2816</v>
      </c>
      <c r="H158" s="38" t="n">
        <f aca="false">2*(E158-$C$8)</f>
        <v>-17.92</v>
      </c>
      <c r="I158" s="2" t="n">
        <f aca="false">EXP(E158)/(1 + EXP(E158))^2</f>
        <v>0.25</v>
      </c>
      <c r="J158" s="39" t="n">
        <v>1</v>
      </c>
      <c r="K158" s="2" t="n">
        <f aca="false">D158</f>
        <v>30</v>
      </c>
      <c r="L158" s="39" t="n">
        <f aca="false">-1*$C$14*H158*I158*J158</f>
        <v>0</v>
      </c>
      <c r="M158" s="2" t="n">
        <f aca="false">-1*$C$14*H158*I158*K158</f>
        <v>0</v>
      </c>
    </row>
    <row r="159" customFormat="false" ht="15" hidden="false" customHeight="false" outlineLevel="0" collapsed="false">
      <c r="A159" s="3"/>
      <c r="B159" s="3"/>
      <c r="C159" s="3"/>
      <c r="D159" s="4" t="n">
        <v>35</v>
      </c>
      <c r="E159" s="2" t="n">
        <f aca="false">$A$153+$B$153*D159</f>
        <v>0</v>
      </c>
      <c r="F159" s="2" t="n">
        <f aca="false">E159</f>
        <v>0</v>
      </c>
      <c r="G159" s="37" t="n">
        <f aca="false">($C$9-E159)^2</f>
        <v>101.136544444444</v>
      </c>
      <c r="H159" s="38" t="n">
        <f aca="false">2*(E159-$C$9)</f>
        <v>-20.1133333333333</v>
      </c>
      <c r="I159" s="2" t="n">
        <f aca="false">EXP(E159)/(1 + EXP(E159))^2</f>
        <v>0.25</v>
      </c>
      <c r="J159" s="39" t="n">
        <v>1</v>
      </c>
      <c r="K159" s="2" t="n">
        <f aca="false">D159</f>
        <v>35</v>
      </c>
      <c r="L159" s="39" t="n">
        <f aca="false">-1*$C$14*H159*I159*J159</f>
        <v>0</v>
      </c>
      <c r="M159" s="2" t="n">
        <f aca="false">-1*$C$14*H159*I159*K159</f>
        <v>0</v>
      </c>
    </row>
    <row r="160" customFormat="false" ht="15" hidden="false" customHeight="false" outlineLevel="0" collapsed="false">
      <c r="A160" s="3"/>
      <c r="B160" s="3"/>
      <c r="C160" s="3"/>
      <c r="D160" s="4" t="n">
        <v>40</v>
      </c>
      <c r="E160" s="2" t="n">
        <f aca="false">$A$153+$B$153*D160</f>
        <v>0</v>
      </c>
      <c r="F160" s="2" t="n">
        <f aca="false">E160</f>
        <v>0</v>
      </c>
      <c r="G160" s="37" t="n">
        <f aca="false">($C$10-E160)^2</f>
        <v>168.826711111111</v>
      </c>
      <c r="H160" s="38" t="n">
        <f aca="false">2*(E160-$C$10)</f>
        <v>-25.9866666666667</v>
      </c>
      <c r="I160" s="2" t="n">
        <f aca="false">EXP(E160)/(1 + EXP(E160))^2</f>
        <v>0.25</v>
      </c>
      <c r="J160" s="39" t="n">
        <v>1</v>
      </c>
      <c r="K160" s="2" t="n">
        <f aca="false">D160</f>
        <v>40</v>
      </c>
      <c r="L160" s="39" t="n">
        <f aca="false">-1*$C$14*H160*I160*J160</f>
        <v>0</v>
      </c>
      <c r="M160" s="2" t="n">
        <f aca="false">-1*$C$14*H160*I160*K160</f>
        <v>0</v>
      </c>
    </row>
    <row r="161" customFormat="false" ht="15" hidden="false" customHeight="false" outlineLevel="0" collapsed="false">
      <c r="A161" s="3"/>
      <c r="B161" s="3"/>
      <c r="C161" s="3"/>
      <c r="D161" s="4" t="n">
        <v>45</v>
      </c>
      <c r="E161" s="2" t="n">
        <f aca="false">$A$153+$B$153*D161</f>
        <v>0</v>
      </c>
      <c r="F161" s="2" t="n">
        <f aca="false">E161</f>
        <v>0</v>
      </c>
      <c r="G161" s="37" t="n">
        <f aca="false">($C$11-E161)^2</f>
        <v>208.2249</v>
      </c>
      <c r="H161" s="38" t="n">
        <f aca="false">2*(E161-$C$11)</f>
        <v>-28.86</v>
      </c>
      <c r="I161" s="2" t="n">
        <f aca="false">EXP(E161)/(1 + EXP(E161))^2</f>
        <v>0.25</v>
      </c>
      <c r="J161" s="39" t="n">
        <v>1</v>
      </c>
      <c r="K161" s="2" t="n">
        <f aca="false">D161</f>
        <v>45</v>
      </c>
      <c r="L161" s="39" t="n">
        <f aca="false">-1*$C$14*H161*I161*J161</f>
        <v>0</v>
      </c>
      <c r="M161" s="2" t="n">
        <f aca="false">-1*$C$14*H161*I161*K161</f>
        <v>0</v>
      </c>
    </row>
    <row r="162" customFormat="false" ht="15" hidden="false" customHeight="false" outlineLevel="0" collapsed="false">
      <c r="A162" s="40"/>
      <c r="B162" s="40"/>
      <c r="C162" s="1"/>
      <c r="D162" s="4" t="n">
        <v>50</v>
      </c>
      <c r="E162" s="2" t="n">
        <f aca="false">$A$153+$B$153*D162</f>
        <v>0</v>
      </c>
      <c r="F162" s="2" t="n">
        <f aca="false">E162</f>
        <v>0</v>
      </c>
      <c r="G162" s="37" t="n">
        <f aca="false">($C$12-E162)^2</f>
        <v>206.401111111111</v>
      </c>
      <c r="H162" s="38" t="n">
        <f aca="false">2*(E162-$C$12)</f>
        <v>-28.7333333333333</v>
      </c>
      <c r="I162" s="2" t="n">
        <f aca="false">EXP(E162)/(1 + EXP(E162))^2</f>
        <v>0.25</v>
      </c>
      <c r="J162" s="39" t="n">
        <v>1</v>
      </c>
      <c r="K162" s="2" t="n">
        <f aca="false">D162</f>
        <v>50</v>
      </c>
      <c r="L162" s="39" t="n">
        <f aca="false">-1*$C$14*H162*I162*J162</f>
        <v>0</v>
      </c>
      <c r="M162" s="2" t="n">
        <f aca="false">-1*$C$14*H162*I162*K162</f>
        <v>0</v>
      </c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41" t="n">
        <f aca="false">SUM(G153:G162)</f>
        <v>892.151144444445</v>
      </c>
      <c r="H163" s="30"/>
      <c r="I163" s="1"/>
      <c r="J163" s="1"/>
      <c r="K163" s="1"/>
      <c r="L163" s="42" t="n">
        <f aca="false">AVERAGE(L153:L162)</f>
        <v>0</v>
      </c>
      <c r="M163" s="42" t="n">
        <f aca="false">AVERAGE(M153:M162)</f>
        <v>0</v>
      </c>
    </row>
    <row r="165" customFormat="false" ht="15" hidden="false" customHeight="false" outlineLevel="0" collapsed="false">
      <c r="A165" s="43" t="s">
        <v>34</v>
      </c>
    </row>
    <row r="166" customFormat="false" ht="15" hidden="false" customHeight="false" outlineLevel="0" collapsed="false">
      <c r="A166" s="3" t="s">
        <v>8</v>
      </c>
      <c r="B166" s="28" t="s">
        <v>9</v>
      </c>
      <c r="C166" s="1"/>
      <c r="D166" s="3" t="s">
        <v>10</v>
      </c>
      <c r="E166" s="29" t="s">
        <v>11</v>
      </c>
      <c r="F166" s="3" t="s">
        <v>12</v>
      </c>
      <c r="G166" s="3" t="s">
        <v>13</v>
      </c>
      <c r="H166" s="30"/>
      <c r="I166" s="1"/>
      <c r="J166" s="31" t="s">
        <v>14</v>
      </c>
      <c r="K166" s="31"/>
      <c r="L166" s="32" t="s">
        <v>15</v>
      </c>
      <c r="M166" s="32"/>
    </row>
    <row r="167" customFormat="false" ht="15" hidden="false" customHeight="false" outlineLevel="0" collapsed="false">
      <c r="A167" s="33" t="s">
        <v>16</v>
      </c>
      <c r="B167" s="33" t="s">
        <v>17</v>
      </c>
      <c r="C167" s="33"/>
      <c r="D167" s="33" t="s">
        <v>18</v>
      </c>
      <c r="E167" s="33" t="s">
        <v>19</v>
      </c>
      <c r="F167" s="33" t="s">
        <v>20</v>
      </c>
      <c r="G167" s="33" t="s">
        <v>21</v>
      </c>
      <c r="H167" s="34" t="s">
        <v>22</v>
      </c>
      <c r="I167" s="35" t="s">
        <v>23</v>
      </c>
      <c r="J167" s="34" t="s">
        <v>24</v>
      </c>
      <c r="K167" s="35" t="s">
        <v>25</v>
      </c>
      <c r="L167" s="36" t="s">
        <v>24</v>
      </c>
      <c r="M167" s="35" t="s">
        <v>25</v>
      </c>
    </row>
    <row r="168" customFormat="false" ht="15" hidden="false" customHeight="false" outlineLevel="0" collapsed="false">
      <c r="A168" s="3" t="n">
        <f aca="false">A153+L163</f>
        <v>0</v>
      </c>
      <c r="B168" s="3" t="n">
        <f aca="false">B153+M163</f>
        <v>0</v>
      </c>
      <c r="C168" s="3"/>
      <c r="D168" s="4" t="n">
        <v>5</v>
      </c>
      <c r="E168" s="2" t="n">
        <f aca="false">$A$168+$B$168*D168</f>
        <v>0</v>
      </c>
      <c r="F168" s="2" t="n">
        <f aca="false">E168</f>
        <v>0</v>
      </c>
      <c r="G168" s="37" t="n">
        <f aca="false">($C$3-E168)^2</f>
        <v>4.5796</v>
      </c>
      <c r="H168" s="38" t="n">
        <f aca="false">2*(E168-$C$3)</f>
        <v>-4.28</v>
      </c>
      <c r="I168" s="2" t="n">
        <f aca="false">EXP(E168)/(1 + EXP(E168))^2</f>
        <v>0.25</v>
      </c>
      <c r="J168" s="39" t="n">
        <v>1</v>
      </c>
      <c r="K168" s="2" t="n">
        <f aca="false">D168</f>
        <v>5</v>
      </c>
      <c r="L168" s="39" t="n">
        <f aca="false">-1*$C$14*H168*I168*J168</f>
        <v>0</v>
      </c>
      <c r="M168" s="2" t="n">
        <f aca="false">-1*$C$14*H168*I168*K168</f>
        <v>0</v>
      </c>
    </row>
    <row r="169" customFormat="false" ht="15" hidden="false" customHeight="false" outlineLevel="0" collapsed="false">
      <c r="A169" s="3"/>
      <c r="B169" s="3"/>
      <c r="C169" s="3"/>
      <c r="D169" s="4" t="n">
        <v>10</v>
      </c>
      <c r="E169" s="2" t="n">
        <f aca="false">$A$168+$B$168*D169</f>
        <v>0</v>
      </c>
      <c r="F169" s="2" t="n">
        <f aca="false">E169</f>
        <v>0</v>
      </c>
      <c r="G169" s="37" t="n">
        <f aca="false">($C$4-E169)^2</f>
        <v>11.4244</v>
      </c>
      <c r="H169" s="38" t="n">
        <f aca="false">2*(E169-$C$4)</f>
        <v>-6.76</v>
      </c>
      <c r="I169" s="2" t="n">
        <f aca="false">EXP(E169)/(1 + EXP(E169))^2</f>
        <v>0.25</v>
      </c>
      <c r="J169" s="39" t="n">
        <v>1</v>
      </c>
      <c r="K169" s="2" t="n">
        <f aca="false">D169</f>
        <v>10</v>
      </c>
      <c r="L169" s="39" t="n">
        <f aca="false">-1*$C$14*H169*I169*J169</f>
        <v>0</v>
      </c>
      <c r="M169" s="2" t="n">
        <f aca="false">-1*$C$14*H169*I169*K169</f>
        <v>0</v>
      </c>
    </row>
    <row r="170" customFormat="false" ht="15" hidden="false" customHeight="false" outlineLevel="0" collapsed="false">
      <c r="A170" s="3"/>
      <c r="B170" s="3"/>
      <c r="C170" s="3"/>
      <c r="D170" s="4" t="n">
        <v>15</v>
      </c>
      <c r="E170" s="2" t="n">
        <f aca="false">$A$168+$B$168*D170</f>
        <v>0</v>
      </c>
      <c r="F170" s="2" t="n">
        <f aca="false">E170</f>
        <v>0</v>
      </c>
      <c r="G170" s="37" t="n">
        <f aca="false">($C$5-E170)^2</f>
        <v>14.8996</v>
      </c>
      <c r="H170" s="38" t="n">
        <f aca="false">2*(E170-$C$5)</f>
        <v>-7.72</v>
      </c>
      <c r="I170" s="2" t="n">
        <f aca="false">EXP(E170)/(1 + EXP(E170))^2</f>
        <v>0.25</v>
      </c>
      <c r="J170" s="39" t="n">
        <v>1</v>
      </c>
      <c r="K170" s="2" t="n">
        <f aca="false">D170</f>
        <v>15</v>
      </c>
      <c r="L170" s="39" t="n">
        <f aca="false">-1*$C$14*H170*I170*J170</f>
        <v>0</v>
      </c>
      <c r="M170" s="2" t="n">
        <f aca="false">-1*$C$14*H170*I170*K170</f>
        <v>0</v>
      </c>
    </row>
    <row r="171" customFormat="false" ht="15" hidden="false" customHeight="false" outlineLevel="0" collapsed="false">
      <c r="A171" s="3"/>
      <c r="B171" s="3"/>
      <c r="C171" s="3"/>
      <c r="D171" s="4" t="n">
        <v>20</v>
      </c>
      <c r="E171" s="2" t="n">
        <f aca="false">$A$168+$B$168*D171</f>
        <v>0</v>
      </c>
      <c r="F171" s="2" t="n">
        <f aca="false">E171</f>
        <v>0</v>
      </c>
      <c r="G171" s="37" t="n">
        <f aca="false">($C$6-E171)^2</f>
        <v>20.9764</v>
      </c>
      <c r="H171" s="38" t="n">
        <f aca="false">2*(E171-$C$6)</f>
        <v>-9.16</v>
      </c>
      <c r="I171" s="2" t="n">
        <f aca="false">EXP(E171)/(1 + EXP(E171))^2</f>
        <v>0.25</v>
      </c>
      <c r="J171" s="39" t="n">
        <v>1</v>
      </c>
      <c r="K171" s="2" t="n">
        <f aca="false">D171</f>
        <v>20</v>
      </c>
      <c r="L171" s="39" t="n">
        <f aca="false">-1*$C$14*H171*I171*J171</f>
        <v>0</v>
      </c>
      <c r="M171" s="2" t="n">
        <f aca="false">-1*$C$14*H171*I171*K171</f>
        <v>0</v>
      </c>
    </row>
    <row r="172" customFormat="false" ht="15" hidden="false" customHeight="false" outlineLevel="0" collapsed="false">
      <c r="A172" s="3"/>
      <c r="B172" s="3"/>
      <c r="C172" s="3"/>
      <c r="D172" s="4" t="n">
        <v>25</v>
      </c>
      <c r="E172" s="2" t="n">
        <f aca="false">$A$168+$B$168*D172</f>
        <v>0</v>
      </c>
      <c r="F172" s="2" t="n">
        <f aca="false">E172</f>
        <v>0</v>
      </c>
      <c r="G172" s="37" t="n">
        <f aca="false">($C$7-E172)^2</f>
        <v>75.4002777777778</v>
      </c>
      <c r="H172" s="38" t="n">
        <f aca="false">2*(E172-$C$7)</f>
        <v>-17.3666666666667</v>
      </c>
      <c r="I172" s="2" t="n">
        <f aca="false">EXP(E172)/(1 + EXP(E172))^2</f>
        <v>0.25</v>
      </c>
      <c r="J172" s="39" t="n">
        <v>1</v>
      </c>
      <c r="K172" s="2" t="n">
        <f aca="false">D172</f>
        <v>25</v>
      </c>
      <c r="L172" s="39" t="n">
        <f aca="false">-1*$C$14*H172*I172*J172</f>
        <v>0</v>
      </c>
      <c r="M172" s="2" t="n">
        <f aca="false">-1*$C$14*H172*I172*K172</f>
        <v>0</v>
      </c>
    </row>
    <row r="173" customFormat="false" ht="15" hidden="false" customHeight="false" outlineLevel="0" collapsed="false">
      <c r="A173" s="3"/>
      <c r="B173" s="3"/>
      <c r="C173" s="3"/>
      <c r="D173" s="4" t="n">
        <v>30</v>
      </c>
      <c r="E173" s="2" t="n">
        <f aca="false">$A$168+$B$168*D173</f>
        <v>0</v>
      </c>
      <c r="F173" s="2" t="n">
        <f aca="false">E173</f>
        <v>0</v>
      </c>
      <c r="G173" s="37" t="n">
        <f aca="false">($C$8-E173)^2</f>
        <v>80.2816</v>
      </c>
      <c r="H173" s="38" t="n">
        <f aca="false">2*(E173-$C$8)</f>
        <v>-17.92</v>
      </c>
      <c r="I173" s="2" t="n">
        <f aca="false">EXP(E173)/(1 + EXP(E173))^2</f>
        <v>0.25</v>
      </c>
      <c r="J173" s="39" t="n">
        <v>1</v>
      </c>
      <c r="K173" s="2" t="n">
        <f aca="false">D173</f>
        <v>30</v>
      </c>
      <c r="L173" s="39" t="n">
        <f aca="false">-1*$C$14*H173*I173*J173</f>
        <v>0</v>
      </c>
      <c r="M173" s="2" t="n">
        <f aca="false">-1*$C$14*H173*I173*K173</f>
        <v>0</v>
      </c>
    </row>
    <row r="174" customFormat="false" ht="15" hidden="false" customHeight="false" outlineLevel="0" collapsed="false">
      <c r="A174" s="3"/>
      <c r="B174" s="3"/>
      <c r="C174" s="3"/>
      <c r="D174" s="4" t="n">
        <v>35</v>
      </c>
      <c r="E174" s="2" t="n">
        <f aca="false">$A$168+$B$168*D174</f>
        <v>0</v>
      </c>
      <c r="F174" s="2" t="n">
        <f aca="false">E174</f>
        <v>0</v>
      </c>
      <c r="G174" s="37" t="n">
        <f aca="false">($C$9-E174)^2</f>
        <v>101.136544444444</v>
      </c>
      <c r="H174" s="38" t="n">
        <f aca="false">2*(E174-$C$9)</f>
        <v>-20.1133333333333</v>
      </c>
      <c r="I174" s="2" t="n">
        <f aca="false">EXP(E174)/(1 + EXP(E174))^2</f>
        <v>0.25</v>
      </c>
      <c r="J174" s="39" t="n">
        <v>1</v>
      </c>
      <c r="K174" s="2" t="n">
        <f aca="false">D174</f>
        <v>35</v>
      </c>
      <c r="L174" s="39" t="n">
        <f aca="false">-1*$C$14*H174*I174*J174</f>
        <v>0</v>
      </c>
      <c r="M174" s="2" t="n">
        <f aca="false">-1*$C$14*H174*I174*K174</f>
        <v>0</v>
      </c>
    </row>
    <row r="175" customFormat="false" ht="15" hidden="false" customHeight="false" outlineLevel="0" collapsed="false">
      <c r="A175" s="3"/>
      <c r="B175" s="3"/>
      <c r="C175" s="3"/>
      <c r="D175" s="4" t="n">
        <v>40</v>
      </c>
      <c r="E175" s="2" t="n">
        <f aca="false">$A$168+$B$168*D175</f>
        <v>0</v>
      </c>
      <c r="F175" s="2" t="n">
        <f aca="false">E175</f>
        <v>0</v>
      </c>
      <c r="G175" s="37" t="n">
        <f aca="false">($C$10-E175)^2</f>
        <v>168.826711111111</v>
      </c>
      <c r="H175" s="38" t="n">
        <f aca="false">2*(E175-$C$10)</f>
        <v>-25.9866666666667</v>
      </c>
      <c r="I175" s="2" t="n">
        <f aca="false">EXP(E175)/(1 + EXP(E175))^2</f>
        <v>0.25</v>
      </c>
      <c r="J175" s="39" t="n">
        <v>1</v>
      </c>
      <c r="K175" s="2" t="n">
        <f aca="false">D175</f>
        <v>40</v>
      </c>
      <c r="L175" s="39" t="n">
        <f aca="false">-1*$C$14*H175*I175*J175</f>
        <v>0</v>
      </c>
      <c r="M175" s="2" t="n">
        <f aca="false">-1*$C$14*H175*I175*K175</f>
        <v>0</v>
      </c>
    </row>
    <row r="176" customFormat="false" ht="15" hidden="false" customHeight="false" outlineLevel="0" collapsed="false">
      <c r="A176" s="3"/>
      <c r="B176" s="3"/>
      <c r="C176" s="3"/>
      <c r="D176" s="4" t="n">
        <v>45</v>
      </c>
      <c r="E176" s="2" t="n">
        <f aca="false">$A$168+$B$168*D176</f>
        <v>0</v>
      </c>
      <c r="F176" s="2" t="n">
        <f aca="false">E176</f>
        <v>0</v>
      </c>
      <c r="G176" s="37" t="n">
        <f aca="false">($C$11-E176)^2</f>
        <v>208.2249</v>
      </c>
      <c r="H176" s="38" t="n">
        <f aca="false">2*(E176-$C$11)</f>
        <v>-28.86</v>
      </c>
      <c r="I176" s="2" t="n">
        <f aca="false">EXP(E176)/(1 + EXP(E176))^2</f>
        <v>0.25</v>
      </c>
      <c r="J176" s="39" t="n">
        <v>1</v>
      </c>
      <c r="K176" s="2" t="n">
        <f aca="false">D176</f>
        <v>45</v>
      </c>
      <c r="L176" s="39" t="n">
        <f aca="false">-1*$C$14*H176*I176*J176</f>
        <v>0</v>
      </c>
      <c r="M176" s="2" t="n">
        <f aca="false">-1*$C$14*H176*I176*K176</f>
        <v>0</v>
      </c>
    </row>
    <row r="177" customFormat="false" ht="15" hidden="false" customHeight="false" outlineLevel="0" collapsed="false">
      <c r="A177" s="40"/>
      <c r="B177" s="40"/>
      <c r="C177" s="1"/>
      <c r="D177" s="4" t="n">
        <v>50</v>
      </c>
      <c r="E177" s="2" t="n">
        <f aca="false">$A$168+$B$168*D177</f>
        <v>0</v>
      </c>
      <c r="F177" s="2" t="n">
        <f aca="false">E177</f>
        <v>0</v>
      </c>
      <c r="G177" s="37" t="n">
        <f aca="false">($C$12-E177)^2</f>
        <v>206.401111111111</v>
      </c>
      <c r="H177" s="38" t="n">
        <f aca="false">2*(E177-$C$12)</f>
        <v>-28.7333333333333</v>
      </c>
      <c r="I177" s="2" t="n">
        <f aca="false">EXP(E177)/(1 + EXP(E177))^2</f>
        <v>0.25</v>
      </c>
      <c r="J177" s="39" t="n">
        <v>1</v>
      </c>
      <c r="K177" s="2" t="n">
        <f aca="false">D177</f>
        <v>50</v>
      </c>
      <c r="L177" s="39" t="n">
        <f aca="false">-1*$C$14*H177*I177*J177</f>
        <v>0</v>
      </c>
      <c r="M177" s="2" t="n">
        <f aca="false">-1*$C$14*H177*I177*K177</f>
        <v>0</v>
      </c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41" t="n">
        <f aca="false">SUM(G168:G177)</f>
        <v>892.151144444445</v>
      </c>
      <c r="H178" s="30"/>
      <c r="I178" s="1"/>
      <c r="J178" s="1"/>
      <c r="K178" s="1"/>
      <c r="L178" s="42" t="n">
        <f aca="false">AVERAGE(L168:L177)</f>
        <v>0</v>
      </c>
      <c r="M178" s="42" t="n">
        <f aca="false">AVERAGE(M168:M177)</f>
        <v>0</v>
      </c>
    </row>
    <row r="180" customFormat="false" ht="15" hidden="false" customHeight="false" outlineLevel="0" collapsed="false">
      <c r="A180" s="43" t="s">
        <v>35</v>
      </c>
    </row>
    <row r="181" customFormat="false" ht="15" hidden="false" customHeight="false" outlineLevel="0" collapsed="false">
      <c r="A181" s="3" t="s">
        <v>8</v>
      </c>
      <c r="B181" s="28" t="s">
        <v>9</v>
      </c>
      <c r="C181" s="1"/>
      <c r="D181" s="3" t="s">
        <v>10</v>
      </c>
      <c r="E181" s="29" t="s">
        <v>11</v>
      </c>
      <c r="F181" s="3" t="s">
        <v>12</v>
      </c>
      <c r="G181" s="3" t="s">
        <v>13</v>
      </c>
      <c r="H181" s="30"/>
      <c r="I181" s="1"/>
      <c r="J181" s="31" t="s">
        <v>14</v>
      </c>
      <c r="K181" s="31"/>
      <c r="L181" s="32" t="s">
        <v>15</v>
      </c>
      <c r="M181" s="32"/>
    </row>
    <row r="182" customFormat="false" ht="15" hidden="false" customHeight="false" outlineLevel="0" collapsed="false">
      <c r="A182" s="33" t="s">
        <v>16</v>
      </c>
      <c r="B182" s="33" t="s">
        <v>17</v>
      </c>
      <c r="C182" s="33"/>
      <c r="D182" s="33" t="s">
        <v>18</v>
      </c>
      <c r="E182" s="33" t="s">
        <v>19</v>
      </c>
      <c r="F182" s="33" t="s">
        <v>20</v>
      </c>
      <c r="G182" s="33" t="s">
        <v>21</v>
      </c>
      <c r="H182" s="34" t="s">
        <v>22</v>
      </c>
      <c r="I182" s="35" t="s">
        <v>23</v>
      </c>
      <c r="J182" s="34" t="s">
        <v>24</v>
      </c>
      <c r="K182" s="35" t="s">
        <v>25</v>
      </c>
      <c r="L182" s="36" t="s">
        <v>24</v>
      </c>
      <c r="M182" s="35" t="s">
        <v>25</v>
      </c>
    </row>
    <row r="183" customFormat="false" ht="15" hidden="false" customHeight="false" outlineLevel="0" collapsed="false">
      <c r="A183" s="3" t="n">
        <f aca="false">A168+L178</f>
        <v>0</v>
      </c>
      <c r="B183" s="3" t="n">
        <f aca="false">B168+M178</f>
        <v>0</v>
      </c>
      <c r="C183" s="3"/>
      <c r="D183" s="4" t="n">
        <v>5</v>
      </c>
      <c r="E183" s="2" t="n">
        <f aca="false">$A$183+$B$183*D183</f>
        <v>0</v>
      </c>
      <c r="F183" s="2" t="n">
        <f aca="false">E183</f>
        <v>0</v>
      </c>
      <c r="G183" s="37" t="n">
        <f aca="false">($C$3-E183)^2</f>
        <v>4.5796</v>
      </c>
      <c r="H183" s="38" t="n">
        <f aca="false">2*(E183-$C$3)</f>
        <v>-4.28</v>
      </c>
      <c r="I183" s="2" t="n">
        <f aca="false">EXP(E183)/(1 + EXP(E183))^2</f>
        <v>0.25</v>
      </c>
      <c r="J183" s="39" t="n">
        <v>1</v>
      </c>
      <c r="K183" s="2" t="n">
        <f aca="false">D183</f>
        <v>5</v>
      </c>
      <c r="L183" s="39" t="n">
        <f aca="false">-1*$C$14*H183*I183*J183</f>
        <v>0</v>
      </c>
      <c r="M183" s="2" t="n">
        <f aca="false">-1*$C$14*H183*I183*K183</f>
        <v>0</v>
      </c>
    </row>
    <row r="184" customFormat="false" ht="15" hidden="false" customHeight="false" outlineLevel="0" collapsed="false">
      <c r="A184" s="3"/>
      <c r="B184" s="3"/>
      <c r="C184" s="3"/>
      <c r="D184" s="4" t="n">
        <v>10</v>
      </c>
      <c r="E184" s="2" t="n">
        <f aca="false">$A$183+$B$183*D184</f>
        <v>0</v>
      </c>
      <c r="F184" s="2" t="n">
        <f aca="false">E184</f>
        <v>0</v>
      </c>
      <c r="G184" s="37" t="n">
        <f aca="false">($C$4-E184)^2</f>
        <v>11.4244</v>
      </c>
      <c r="H184" s="38" t="n">
        <f aca="false">2*(E184-$C$4)</f>
        <v>-6.76</v>
      </c>
      <c r="I184" s="2" t="n">
        <f aca="false">EXP(E184)/(1 + EXP(E184))^2</f>
        <v>0.25</v>
      </c>
      <c r="J184" s="39" t="n">
        <v>1</v>
      </c>
      <c r="K184" s="2" t="n">
        <f aca="false">D184</f>
        <v>10</v>
      </c>
      <c r="L184" s="39" t="n">
        <f aca="false">-1*$C$14*H184*I184*J184</f>
        <v>0</v>
      </c>
      <c r="M184" s="2" t="n">
        <f aca="false">-1*$C$14*H184*I184*K184</f>
        <v>0</v>
      </c>
    </row>
    <row r="185" customFormat="false" ht="15" hidden="false" customHeight="false" outlineLevel="0" collapsed="false">
      <c r="A185" s="3"/>
      <c r="B185" s="3"/>
      <c r="C185" s="3"/>
      <c r="D185" s="4" t="n">
        <v>15</v>
      </c>
      <c r="E185" s="2" t="n">
        <f aca="false">$A$183+$B$183*D185</f>
        <v>0</v>
      </c>
      <c r="F185" s="2" t="n">
        <f aca="false">E185</f>
        <v>0</v>
      </c>
      <c r="G185" s="37" t="n">
        <f aca="false">($C$5-E185)^2</f>
        <v>14.8996</v>
      </c>
      <c r="H185" s="38" t="n">
        <f aca="false">2*(E185-$C$5)</f>
        <v>-7.72</v>
      </c>
      <c r="I185" s="2" t="n">
        <f aca="false">EXP(E185)/(1 + EXP(E185))^2</f>
        <v>0.25</v>
      </c>
      <c r="J185" s="39" t="n">
        <v>1</v>
      </c>
      <c r="K185" s="2" t="n">
        <f aca="false">D185</f>
        <v>15</v>
      </c>
      <c r="L185" s="39" t="n">
        <f aca="false">-1*$C$14*H185*I185*J185</f>
        <v>0</v>
      </c>
      <c r="M185" s="2" t="n">
        <f aca="false">-1*$C$14*H185*I185*K185</f>
        <v>0</v>
      </c>
    </row>
    <row r="186" customFormat="false" ht="15" hidden="false" customHeight="false" outlineLevel="0" collapsed="false">
      <c r="A186" s="3"/>
      <c r="B186" s="3"/>
      <c r="C186" s="3"/>
      <c r="D186" s="4" t="n">
        <v>20</v>
      </c>
      <c r="E186" s="2" t="n">
        <f aca="false">$A$183+$B$183*D186</f>
        <v>0</v>
      </c>
      <c r="F186" s="2" t="n">
        <f aca="false">E186</f>
        <v>0</v>
      </c>
      <c r="G186" s="37" t="n">
        <f aca="false">($C$6-E186)^2</f>
        <v>20.9764</v>
      </c>
      <c r="H186" s="38" t="n">
        <f aca="false">2*(E186-$C$6)</f>
        <v>-9.16</v>
      </c>
      <c r="I186" s="2" t="n">
        <f aca="false">EXP(E186)/(1 + EXP(E186))^2</f>
        <v>0.25</v>
      </c>
      <c r="J186" s="39" t="n">
        <v>1</v>
      </c>
      <c r="K186" s="2" t="n">
        <f aca="false">D186</f>
        <v>20</v>
      </c>
      <c r="L186" s="39" t="n">
        <f aca="false">-1*$C$14*H186*I186*J186</f>
        <v>0</v>
      </c>
      <c r="M186" s="2" t="n">
        <f aca="false">-1*$C$14*H186*I186*K186</f>
        <v>0</v>
      </c>
    </row>
    <row r="187" customFormat="false" ht="15" hidden="false" customHeight="false" outlineLevel="0" collapsed="false">
      <c r="A187" s="3"/>
      <c r="B187" s="3"/>
      <c r="C187" s="3"/>
      <c r="D187" s="4" t="n">
        <v>25</v>
      </c>
      <c r="E187" s="2" t="n">
        <f aca="false">$A$183+$B$183*D187</f>
        <v>0</v>
      </c>
      <c r="F187" s="2" t="n">
        <f aca="false">E187</f>
        <v>0</v>
      </c>
      <c r="G187" s="37" t="n">
        <f aca="false">($C$7-E187)^2</f>
        <v>75.4002777777778</v>
      </c>
      <c r="H187" s="38" t="n">
        <f aca="false">2*(E187-$C$7)</f>
        <v>-17.3666666666667</v>
      </c>
      <c r="I187" s="2" t="n">
        <f aca="false">EXP(E187)/(1 + EXP(E187))^2</f>
        <v>0.25</v>
      </c>
      <c r="J187" s="39" t="n">
        <v>1</v>
      </c>
      <c r="K187" s="2" t="n">
        <f aca="false">D187</f>
        <v>25</v>
      </c>
      <c r="L187" s="39" t="n">
        <f aca="false">-1*$C$14*H187*I187*J187</f>
        <v>0</v>
      </c>
      <c r="M187" s="2" t="n">
        <f aca="false">-1*$C$14*H187*I187*K187</f>
        <v>0</v>
      </c>
    </row>
    <row r="188" customFormat="false" ht="15" hidden="false" customHeight="false" outlineLevel="0" collapsed="false">
      <c r="A188" s="3"/>
      <c r="B188" s="3"/>
      <c r="C188" s="3"/>
      <c r="D188" s="4" t="n">
        <v>30</v>
      </c>
      <c r="E188" s="2" t="n">
        <f aca="false">$A$183+$B$183*D188</f>
        <v>0</v>
      </c>
      <c r="F188" s="2" t="n">
        <f aca="false">E188</f>
        <v>0</v>
      </c>
      <c r="G188" s="37" t="n">
        <f aca="false">($C$8-E188)^2</f>
        <v>80.2816</v>
      </c>
      <c r="H188" s="38" t="n">
        <f aca="false">2*(E188-$C$8)</f>
        <v>-17.92</v>
      </c>
      <c r="I188" s="2" t="n">
        <f aca="false">EXP(E188)/(1 + EXP(E188))^2</f>
        <v>0.25</v>
      </c>
      <c r="J188" s="39" t="n">
        <v>1</v>
      </c>
      <c r="K188" s="2" t="n">
        <f aca="false">D188</f>
        <v>30</v>
      </c>
      <c r="L188" s="39" t="n">
        <f aca="false">-1*$C$14*H188*I188*J188</f>
        <v>0</v>
      </c>
      <c r="M188" s="2" t="n">
        <f aca="false">-1*$C$14*H188*I188*K188</f>
        <v>0</v>
      </c>
    </row>
    <row r="189" customFormat="false" ht="15" hidden="false" customHeight="false" outlineLevel="0" collapsed="false">
      <c r="A189" s="3"/>
      <c r="B189" s="3"/>
      <c r="C189" s="3"/>
      <c r="D189" s="4" t="n">
        <v>35</v>
      </c>
      <c r="E189" s="2" t="n">
        <f aca="false">$A$183+$B$183*D189</f>
        <v>0</v>
      </c>
      <c r="F189" s="2" t="n">
        <f aca="false">E189</f>
        <v>0</v>
      </c>
      <c r="G189" s="37" t="n">
        <f aca="false">($C$9-E189)^2</f>
        <v>101.136544444444</v>
      </c>
      <c r="H189" s="38" t="n">
        <f aca="false">2*(E189-$C$9)</f>
        <v>-20.1133333333333</v>
      </c>
      <c r="I189" s="2" t="n">
        <f aca="false">EXP(E189)/(1 + EXP(E189))^2</f>
        <v>0.25</v>
      </c>
      <c r="J189" s="39" t="n">
        <v>1</v>
      </c>
      <c r="K189" s="2" t="n">
        <f aca="false">D189</f>
        <v>35</v>
      </c>
      <c r="L189" s="39" t="n">
        <f aca="false">-1*$C$14*H189*I189*J189</f>
        <v>0</v>
      </c>
      <c r="M189" s="2" t="n">
        <f aca="false">-1*$C$14*H189*I189*K189</f>
        <v>0</v>
      </c>
    </row>
    <row r="190" customFormat="false" ht="15" hidden="false" customHeight="false" outlineLevel="0" collapsed="false">
      <c r="A190" s="3"/>
      <c r="B190" s="3"/>
      <c r="C190" s="3"/>
      <c r="D190" s="4" t="n">
        <v>40</v>
      </c>
      <c r="E190" s="2" t="n">
        <f aca="false">$A$183+$B$183*D190</f>
        <v>0</v>
      </c>
      <c r="F190" s="2" t="n">
        <f aca="false">E190</f>
        <v>0</v>
      </c>
      <c r="G190" s="37" t="n">
        <f aca="false">($C$10-E190)^2</f>
        <v>168.826711111111</v>
      </c>
      <c r="H190" s="38" t="n">
        <f aca="false">2*(E190-$C$10)</f>
        <v>-25.9866666666667</v>
      </c>
      <c r="I190" s="2" t="n">
        <f aca="false">EXP(E190)/(1 + EXP(E190))^2</f>
        <v>0.25</v>
      </c>
      <c r="J190" s="39" t="n">
        <v>1</v>
      </c>
      <c r="K190" s="2" t="n">
        <f aca="false">D190</f>
        <v>40</v>
      </c>
      <c r="L190" s="39" t="n">
        <f aca="false">-1*$C$14*H190*I190*J190</f>
        <v>0</v>
      </c>
      <c r="M190" s="2" t="n">
        <f aca="false">-1*$C$14*H190*I190*K190</f>
        <v>0</v>
      </c>
    </row>
    <row r="191" customFormat="false" ht="15" hidden="false" customHeight="false" outlineLevel="0" collapsed="false">
      <c r="A191" s="3"/>
      <c r="B191" s="3"/>
      <c r="C191" s="3"/>
      <c r="D191" s="4" t="n">
        <v>45</v>
      </c>
      <c r="E191" s="2" t="n">
        <f aca="false">$A$183+$B$183*D191</f>
        <v>0</v>
      </c>
      <c r="F191" s="2" t="n">
        <f aca="false">E191</f>
        <v>0</v>
      </c>
      <c r="G191" s="37" t="n">
        <f aca="false">($C$11-E191)^2</f>
        <v>208.2249</v>
      </c>
      <c r="H191" s="38" t="n">
        <f aca="false">2*(E191-$C$11)</f>
        <v>-28.86</v>
      </c>
      <c r="I191" s="2" t="n">
        <f aca="false">EXP(E191)/(1 + EXP(E191))^2</f>
        <v>0.25</v>
      </c>
      <c r="J191" s="39" t="n">
        <v>1</v>
      </c>
      <c r="K191" s="2" t="n">
        <f aca="false">D191</f>
        <v>45</v>
      </c>
      <c r="L191" s="39" t="n">
        <f aca="false">-1*$C$14*H191*I191*J191</f>
        <v>0</v>
      </c>
      <c r="M191" s="2" t="n">
        <f aca="false">-1*$C$14*H191*I191*K191</f>
        <v>0</v>
      </c>
    </row>
    <row r="192" customFormat="false" ht="15" hidden="false" customHeight="false" outlineLevel="0" collapsed="false">
      <c r="A192" s="40"/>
      <c r="B192" s="40"/>
      <c r="C192" s="1"/>
      <c r="D192" s="4" t="n">
        <v>50</v>
      </c>
      <c r="E192" s="2" t="n">
        <f aca="false">$A$183+$B$183*D192</f>
        <v>0</v>
      </c>
      <c r="F192" s="2" t="n">
        <f aca="false">E192</f>
        <v>0</v>
      </c>
      <c r="G192" s="37" t="n">
        <f aca="false">($C$12-E192)^2</f>
        <v>206.401111111111</v>
      </c>
      <c r="H192" s="38" t="n">
        <f aca="false">2*(E192-$C$12)</f>
        <v>-28.7333333333333</v>
      </c>
      <c r="I192" s="2" t="n">
        <f aca="false">EXP(E192)/(1 + EXP(E192))^2</f>
        <v>0.25</v>
      </c>
      <c r="J192" s="39" t="n">
        <v>1</v>
      </c>
      <c r="K192" s="2" t="n">
        <f aca="false">D192</f>
        <v>50</v>
      </c>
      <c r="L192" s="39" t="n">
        <f aca="false">-1*$C$14*H192*I192*J192</f>
        <v>0</v>
      </c>
      <c r="M192" s="2" t="n">
        <f aca="false">-1*$C$14*H192*I192*K192</f>
        <v>0</v>
      </c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41" t="n">
        <f aca="false">SUM(G183:G192)</f>
        <v>892.151144444445</v>
      </c>
      <c r="H193" s="30"/>
      <c r="I193" s="1"/>
      <c r="J193" s="1"/>
      <c r="K193" s="1"/>
      <c r="L193" s="42" t="n">
        <f aca="false">AVERAGE(L183:L192)</f>
        <v>0</v>
      </c>
      <c r="M193" s="42" t="n">
        <f aca="false">AVERAGE(M183:M192)</f>
        <v>0</v>
      </c>
    </row>
    <row r="195" customFormat="false" ht="15" hidden="false" customHeight="false" outlineLevel="0" collapsed="false">
      <c r="A195" s="43" t="s">
        <v>36</v>
      </c>
    </row>
    <row r="196" customFormat="false" ht="15" hidden="false" customHeight="false" outlineLevel="0" collapsed="false">
      <c r="A196" s="3" t="s">
        <v>8</v>
      </c>
      <c r="B196" s="28" t="s">
        <v>9</v>
      </c>
      <c r="C196" s="1"/>
      <c r="D196" s="3" t="s">
        <v>10</v>
      </c>
      <c r="E196" s="29" t="s">
        <v>11</v>
      </c>
      <c r="F196" s="3" t="s">
        <v>12</v>
      </c>
      <c r="G196" s="3" t="s">
        <v>13</v>
      </c>
      <c r="H196" s="30"/>
      <c r="I196" s="1"/>
      <c r="J196" s="31" t="s">
        <v>14</v>
      </c>
      <c r="K196" s="31"/>
      <c r="L196" s="32" t="s">
        <v>15</v>
      </c>
      <c r="M196" s="32"/>
    </row>
    <row r="197" customFormat="false" ht="15" hidden="false" customHeight="false" outlineLevel="0" collapsed="false">
      <c r="A197" s="33" t="s">
        <v>16</v>
      </c>
      <c r="B197" s="33" t="s">
        <v>17</v>
      </c>
      <c r="C197" s="33"/>
      <c r="D197" s="33" t="s">
        <v>18</v>
      </c>
      <c r="E197" s="33" t="s">
        <v>19</v>
      </c>
      <c r="F197" s="33" t="s">
        <v>20</v>
      </c>
      <c r="G197" s="33" t="s">
        <v>21</v>
      </c>
      <c r="H197" s="34" t="s">
        <v>22</v>
      </c>
      <c r="I197" s="35" t="s">
        <v>23</v>
      </c>
      <c r="J197" s="34" t="s">
        <v>24</v>
      </c>
      <c r="K197" s="35" t="s">
        <v>25</v>
      </c>
      <c r="L197" s="36" t="s">
        <v>24</v>
      </c>
      <c r="M197" s="35" t="s">
        <v>25</v>
      </c>
    </row>
    <row r="198" customFormat="false" ht="15" hidden="false" customHeight="false" outlineLevel="0" collapsed="false">
      <c r="A198" s="3" t="n">
        <f aca="false">A183+L193</f>
        <v>0</v>
      </c>
      <c r="B198" s="3" t="n">
        <f aca="false">B183+M193</f>
        <v>0</v>
      </c>
      <c r="C198" s="3"/>
      <c r="D198" s="4" t="n">
        <v>5</v>
      </c>
      <c r="E198" s="2" t="n">
        <f aca="false">$A$198+$B$198*D198</f>
        <v>0</v>
      </c>
      <c r="F198" s="2" t="n">
        <f aca="false">E198</f>
        <v>0</v>
      </c>
      <c r="G198" s="37" t="n">
        <f aca="false">($C$3-E198)^2</f>
        <v>4.5796</v>
      </c>
      <c r="H198" s="38" t="n">
        <f aca="false">2*(E198-$C$3)</f>
        <v>-4.28</v>
      </c>
      <c r="I198" s="2" t="n">
        <f aca="false">EXP(E198)/(1 + EXP(E198))^2</f>
        <v>0.25</v>
      </c>
      <c r="J198" s="39" t="n">
        <v>1</v>
      </c>
      <c r="K198" s="2" t="n">
        <f aca="false">D198</f>
        <v>5</v>
      </c>
      <c r="L198" s="39" t="n">
        <f aca="false">-1*$C$14*H198*I198*J198</f>
        <v>0</v>
      </c>
      <c r="M198" s="2" t="n">
        <f aca="false">-1*$C$14*H198*I198*K198</f>
        <v>0</v>
      </c>
    </row>
    <row r="199" customFormat="false" ht="15" hidden="false" customHeight="false" outlineLevel="0" collapsed="false">
      <c r="A199" s="3"/>
      <c r="B199" s="3"/>
      <c r="C199" s="3"/>
      <c r="D199" s="4" t="n">
        <v>10</v>
      </c>
      <c r="E199" s="2" t="n">
        <f aca="false">$A$198+$B$198*D199</f>
        <v>0</v>
      </c>
      <c r="F199" s="2" t="n">
        <f aca="false">E199</f>
        <v>0</v>
      </c>
      <c r="G199" s="37" t="n">
        <f aca="false">($C$4-E199)^2</f>
        <v>11.4244</v>
      </c>
      <c r="H199" s="38" t="n">
        <f aca="false">2*(E199-$C$4)</f>
        <v>-6.76</v>
      </c>
      <c r="I199" s="2" t="n">
        <f aca="false">EXP(E199)/(1 + EXP(E199))^2</f>
        <v>0.25</v>
      </c>
      <c r="J199" s="39" t="n">
        <v>1</v>
      </c>
      <c r="K199" s="2" t="n">
        <f aca="false">D199</f>
        <v>10</v>
      </c>
      <c r="L199" s="39" t="n">
        <f aca="false">-1*$C$14*H199*I199*J199</f>
        <v>0</v>
      </c>
      <c r="M199" s="2" t="n">
        <f aca="false">-1*$C$14*H199*I199*K199</f>
        <v>0</v>
      </c>
    </row>
    <row r="200" customFormat="false" ht="15" hidden="false" customHeight="false" outlineLevel="0" collapsed="false">
      <c r="A200" s="3"/>
      <c r="B200" s="3"/>
      <c r="C200" s="3"/>
      <c r="D200" s="4" t="n">
        <v>15</v>
      </c>
      <c r="E200" s="2" t="n">
        <f aca="false">$A$198+$B$198*D200</f>
        <v>0</v>
      </c>
      <c r="F200" s="2" t="n">
        <f aca="false">E200</f>
        <v>0</v>
      </c>
      <c r="G200" s="37" t="n">
        <f aca="false">($C$5-E200)^2</f>
        <v>14.8996</v>
      </c>
      <c r="H200" s="38" t="n">
        <f aca="false">2*(E200-$C$5)</f>
        <v>-7.72</v>
      </c>
      <c r="I200" s="2" t="n">
        <f aca="false">EXP(E200)/(1 + EXP(E200))^2</f>
        <v>0.25</v>
      </c>
      <c r="J200" s="39" t="n">
        <v>1</v>
      </c>
      <c r="K200" s="2" t="n">
        <f aca="false">D200</f>
        <v>15</v>
      </c>
      <c r="L200" s="39" t="n">
        <f aca="false">-1*$C$14*H200*I200*J200</f>
        <v>0</v>
      </c>
      <c r="M200" s="2" t="n">
        <f aca="false">-1*$C$14*H200*I200*K200</f>
        <v>0</v>
      </c>
    </row>
    <row r="201" customFormat="false" ht="15" hidden="false" customHeight="false" outlineLevel="0" collapsed="false">
      <c r="A201" s="3"/>
      <c r="B201" s="3"/>
      <c r="C201" s="3"/>
      <c r="D201" s="4" t="n">
        <v>20</v>
      </c>
      <c r="E201" s="2" t="n">
        <f aca="false">$A$198+$B$198*D201</f>
        <v>0</v>
      </c>
      <c r="F201" s="2" t="n">
        <f aca="false">E201</f>
        <v>0</v>
      </c>
      <c r="G201" s="37" t="n">
        <f aca="false">($C$6-E201)^2</f>
        <v>20.9764</v>
      </c>
      <c r="H201" s="38" t="n">
        <f aca="false">2*(E201-$C$6)</f>
        <v>-9.16</v>
      </c>
      <c r="I201" s="2" t="n">
        <f aca="false">EXP(E201)/(1 + EXP(E201))^2</f>
        <v>0.25</v>
      </c>
      <c r="J201" s="39" t="n">
        <v>1</v>
      </c>
      <c r="K201" s="2" t="n">
        <f aca="false">D201</f>
        <v>20</v>
      </c>
      <c r="L201" s="39" t="n">
        <f aca="false">-1*$C$14*H201*I201*J201</f>
        <v>0</v>
      </c>
      <c r="M201" s="2" t="n">
        <f aca="false">-1*$C$14*H201*I201*K201</f>
        <v>0</v>
      </c>
    </row>
    <row r="202" customFormat="false" ht="15" hidden="false" customHeight="false" outlineLevel="0" collapsed="false">
      <c r="A202" s="3"/>
      <c r="B202" s="3"/>
      <c r="C202" s="3"/>
      <c r="D202" s="4" t="n">
        <v>25</v>
      </c>
      <c r="E202" s="2" t="n">
        <f aca="false">$A$198+$B$198*D202</f>
        <v>0</v>
      </c>
      <c r="F202" s="2" t="n">
        <f aca="false">E202</f>
        <v>0</v>
      </c>
      <c r="G202" s="37" t="n">
        <f aca="false">($C$7-E202)^2</f>
        <v>75.4002777777778</v>
      </c>
      <c r="H202" s="38" t="n">
        <f aca="false">2*(E202-$C$7)</f>
        <v>-17.3666666666667</v>
      </c>
      <c r="I202" s="2" t="n">
        <f aca="false">EXP(E202)/(1 + EXP(E202))^2</f>
        <v>0.25</v>
      </c>
      <c r="J202" s="39" t="n">
        <v>1</v>
      </c>
      <c r="K202" s="2" t="n">
        <f aca="false">D202</f>
        <v>25</v>
      </c>
      <c r="L202" s="39" t="n">
        <f aca="false">-1*$C$14*H202*I202*J202</f>
        <v>0</v>
      </c>
      <c r="M202" s="2" t="n">
        <f aca="false">-1*$C$14*H202*I202*K202</f>
        <v>0</v>
      </c>
    </row>
    <row r="203" customFormat="false" ht="15" hidden="false" customHeight="false" outlineLevel="0" collapsed="false">
      <c r="A203" s="3"/>
      <c r="B203" s="3"/>
      <c r="C203" s="3"/>
      <c r="D203" s="4" t="n">
        <v>30</v>
      </c>
      <c r="E203" s="2" t="n">
        <f aca="false">$A$198+$B$198*D203</f>
        <v>0</v>
      </c>
      <c r="F203" s="2" t="n">
        <f aca="false">E203</f>
        <v>0</v>
      </c>
      <c r="G203" s="37" t="n">
        <f aca="false">($C$8-E203)^2</f>
        <v>80.2816</v>
      </c>
      <c r="H203" s="38" t="n">
        <f aca="false">2*(E203-$C$8)</f>
        <v>-17.92</v>
      </c>
      <c r="I203" s="2" t="n">
        <f aca="false">EXP(E203)/(1 + EXP(E203))^2</f>
        <v>0.25</v>
      </c>
      <c r="J203" s="39" t="n">
        <v>1</v>
      </c>
      <c r="K203" s="2" t="n">
        <f aca="false">D203</f>
        <v>30</v>
      </c>
      <c r="L203" s="39" t="n">
        <f aca="false">-1*$C$14*H203*I203*J203</f>
        <v>0</v>
      </c>
      <c r="M203" s="2" t="n">
        <f aca="false">-1*$C$14*H203*I203*K203</f>
        <v>0</v>
      </c>
    </row>
    <row r="204" customFormat="false" ht="15" hidden="false" customHeight="false" outlineLevel="0" collapsed="false">
      <c r="A204" s="3"/>
      <c r="B204" s="3"/>
      <c r="C204" s="3"/>
      <c r="D204" s="4" t="n">
        <v>35</v>
      </c>
      <c r="E204" s="2" t="n">
        <f aca="false">$A$198+$B$198*D204</f>
        <v>0</v>
      </c>
      <c r="F204" s="2" t="n">
        <f aca="false">E204</f>
        <v>0</v>
      </c>
      <c r="G204" s="37" t="n">
        <f aca="false">($C$9-E204)^2</f>
        <v>101.136544444444</v>
      </c>
      <c r="H204" s="38" t="n">
        <f aca="false">2*(E204-$C$9)</f>
        <v>-20.1133333333333</v>
      </c>
      <c r="I204" s="2" t="n">
        <f aca="false">EXP(E204)/(1 + EXP(E204))^2</f>
        <v>0.25</v>
      </c>
      <c r="J204" s="39" t="n">
        <v>1</v>
      </c>
      <c r="K204" s="2" t="n">
        <f aca="false">D204</f>
        <v>35</v>
      </c>
      <c r="L204" s="39" t="n">
        <f aca="false">-1*$C$14*H204*I204*J204</f>
        <v>0</v>
      </c>
      <c r="M204" s="2" t="n">
        <f aca="false">-1*$C$14*H204*I204*K204</f>
        <v>0</v>
      </c>
    </row>
    <row r="205" customFormat="false" ht="15" hidden="false" customHeight="false" outlineLevel="0" collapsed="false">
      <c r="A205" s="3"/>
      <c r="B205" s="3"/>
      <c r="C205" s="3"/>
      <c r="D205" s="4" t="n">
        <v>40</v>
      </c>
      <c r="E205" s="2" t="n">
        <f aca="false">$A$198+$B$198*D205</f>
        <v>0</v>
      </c>
      <c r="F205" s="2" t="n">
        <f aca="false">E205</f>
        <v>0</v>
      </c>
      <c r="G205" s="37" t="n">
        <f aca="false">($C$10-E205)^2</f>
        <v>168.826711111111</v>
      </c>
      <c r="H205" s="38" t="n">
        <f aca="false">2*(E205-$C$10)</f>
        <v>-25.9866666666667</v>
      </c>
      <c r="I205" s="2" t="n">
        <f aca="false">EXP(E205)/(1 + EXP(E205))^2</f>
        <v>0.25</v>
      </c>
      <c r="J205" s="39" t="n">
        <v>1</v>
      </c>
      <c r="K205" s="2" t="n">
        <f aca="false">D205</f>
        <v>40</v>
      </c>
      <c r="L205" s="39" t="n">
        <f aca="false">-1*$C$14*H205*I205*J205</f>
        <v>0</v>
      </c>
      <c r="M205" s="2" t="n">
        <f aca="false">-1*$C$14*H205*I205*K205</f>
        <v>0</v>
      </c>
    </row>
    <row r="206" customFormat="false" ht="15" hidden="false" customHeight="false" outlineLevel="0" collapsed="false">
      <c r="A206" s="3"/>
      <c r="B206" s="3"/>
      <c r="C206" s="3"/>
      <c r="D206" s="4" t="n">
        <v>45</v>
      </c>
      <c r="E206" s="2" t="n">
        <f aca="false">$A$198+$B$198*D206</f>
        <v>0</v>
      </c>
      <c r="F206" s="2" t="n">
        <f aca="false">E206</f>
        <v>0</v>
      </c>
      <c r="G206" s="37" t="n">
        <f aca="false">($C$11-E206)^2</f>
        <v>208.2249</v>
      </c>
      <c r="H206" s="38" t="n">
        <f aca="false">2*(E206-$C$11)</f>
        <v>-28.86</v>
      </c>
      <c r="I206" s="2" t="n">
        <f aca="false">EXP(E206)/(1 + EXP(E206))^2</f>
        <v>0.25</v>
      </c>
      <c r="J206" s="39" t="n">
        <v>1</v>
      </c>
      <c r="K206" s="2" t="n">
        <f aca="false">D206</f>
        <v>45</v>
      </c>
      <c r="L206" s="39" t="n">
        <f aca="false">-1*$C$14*H206*I206*J206</f>
        <v>0</v>
      </c>
      <c r="M206" s="2" t="n">
        <f aca="false">-1*$C$14*H206*I206*K206</f>
        <v>0</v>
      </c>
    </row>
    <row r="207" customFormat="false" ht="15" hidden="false" customHeight="false" outlineLevel="0" collapsed="false">
      <c r="A207" s="40"/>
      <c r="B207" s="40"/>
      <c r="C207" s="1"/>
      <c r="D207" s="4" t="n">
        <v>50</v>
      </c>
      <c r="E207" s="2" t="n">
        <f aca="false">$A$198+$B$198*D207</f>
        <v>0</v>
      </c>
      <c r="F207" s="2" t="n">
        <f aca="false">E207</f>
        <v>0</v>
      </c>
      <c r="G207" s="37" t="n">
        <f aca="false">($C$12-E207)^2</f>
        <v>206.401111111111</v>
      </c>
      <c r="H207" s="38" t="n">
        <f aca="false">2*(E207-$C$12)</f>
        <v>-28.7333333333333</v>
      </c>
      <c r="I207" s="2" t="n">
        <f aca="false">EXP(E207)/(1 + EXP(E207))^2</f>
        <v>0.25</v>
      </c>
      <c r="J207" s="39" t="n">
        <v>1</v>
      </c>
      <c r="K207" s="2" t="n">
        <f aca="false">D207</f>
        <v>50</v>
      </c>
      <c r="L207" s="39" t="n">
        <f aca="false">-1*$C$14*H207*I207*J207</f>
        <v>0</v>
      </c>
      <c r="M207" s="2" t="n">
        <f aca="false">-1*$C$14*H207*I207*K207</f>
        <v>0</v>
      </c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41" t="n">
        <f aca="false">SUM(G198:G207)</f>
        <v>892.151144444445</v>
      </c>
      <c r="H208" s="30"/>
      <c r="I208" s="1"/>
      <c r="J208" s="1"/>
      <c r="K208" s="1"/>
      <c r="L208" s="42" t="n">
        <f aca="false">AVERAGE(L198:L207)</f>
        <v>0</v>
      </c>
      <c r="M208" s="42" t="n">
        <f aca="false">AVERAGE(M198:M207)</f>
        <v>0</v>
      </c>
    </row>
    <row r="210" customFormat="false" ht="15" hidden="false" customHeight="false" outlineLevel="0" collapsed="false">
      <c r="A210" s="43" t="s">
        <v>37</v>
      </c>
    </row>
    <row r="211" customFormat="false" ht="15" hidden="false" customHeight="false" outlineLevel="0" collapsed="false">
      <c r="A211" s="3" t="s">
        <v>8</v>
      </c>
      <c r="B211" s="28" t="s">
        <v>9</v>
      </c>
      <c r="C211" s="1"/>
      <c r="D211" s="3" t="s">
        <v>10</v>
      </c>
      <c r="E211" s="29" t="s">
        <v>11</v>
      </c>
      <c r="F211" s="3" t="s">
        <v>12</v>
      </c>
      <c r="G211" s="3" t="s">
        <v>13</v>
      </c>
      <c r="H211" s="30"/>
      <c r="I211" s="1"/>
      <c r="J211" s="31" t="s">
        <v>14</v>
      </c>
      <c r="K211" s="31"/>
      <c r="L211" s="32" t="s">
        <v>15</v>
      </c>
      <c r="M211" s="32"/>
    </row>
    <row r="212" customFormat="false" ht="15" hidden="false" customHeight="false" outlineLevel="0" collapsed="false">
      <c r="A212" s="33" t="s">
        <v>16</v>
      </c>
      <c r="B212" s="33" t="s">
        <v>17</v>
      </c>
      <c r="C212" s="33"/>
      <c r="D212" s="33" t="s">
        <v>18</v>
      </c>
      <c r="E212" s="33" t="s">
        <v>19</v>
      </c>
      <c r="F212" s="33" t="s">
        <v>20</v>
      </c>
      <c r="G212" s="33" t="s">
        <v>21</v>
      </c>
      <c r="H212" s="34" t="s">
        <v>22</v>
      </c>
      <c r="I212" s="35" t="s">
        <v>23</v>
      </c>
      <c r="J212" s="34" t="s">
        <v>24</v>
      </c>
      <c r="K212" s="35" t="s">
        <v>25</v>
      </c>
      <c r="L212" s="36" t="s">
        <v>24</v>
      </c>
      <c r="M212" s="35" t="s">
        <v>25</v>
      </c>
    </row>
    <row r="213" customFormat="false" ht="15" hidden="false" customHeight="false" outlineLevel="0" collapsed="false">
      <c r="A213" s="3" t="n">
        <f aca="false">A198+L208</f>
        <v>0</v>
      </c>
      <c r="B213" s="3" t="n">
        <f aca="false">B198+M208</f>
        <v>0</v>
      </c>
      <c r="C213" s="3"/>
      <c r="D213" s="4" t="n">
        <v>5</v>
      </c>
      <c r="E213" s="2" t="n">
        <f aca="false">$A$213+$B$213*D213</f>
        <v>0</v>
      </c>
      <c r="F213" s="2" t="n">
        <f aca="false">E213</f>
        <v>0</v>
      </c>
      <c r="G213" s="37" t="n">
        <f aca="false">($C$3-E213)^2</f>
        <v>4.5796</v>
      </c>
      <c r="H213" s="38" t="n">
        <f aca="false">2*(E213-$C$3)</f>
        <v>-4.28</v>
      </c>
      <c r="I213" s="2" t="n">
        <f aca="false">EXP(E213)/(1 + EXP(E213))^2</f>
        <v>0.25</v>
      </c>
      <c r="J213" s="39" t="n">
        <v>1</v>
      </c>
      <c r="K213" s="2" t="n">
        <f aca="false">D213</f>
        <v>5</v>
      </c>
      <c r="L213" s="39" t="n">
        <f aca="false">-1*$C$14*H213*I213*J213</f>
        <v>0</v>
      </c>
      <c r="M213" s="2" t="n">
        <f aca="false">-1*$C$14*H213*I213*K213</f>
        <v>0</v>
      </c>
    </row>
    <row r="214" customFormat="false" ht="15" hidden="false" customHeight="false" outlineLevel="0" collapsed="false">
      <c r="A214" s="3"/>
      <c r="B214" s="3"/>
      <c r="C214" s="3"/>
      <c r="D214" s="4" t="n">
        <v>10</v>
      </c>
      <c r="E214" s="2" t="n">
        <f aca="false">$A$213+$B$213*D214</f>
        <v>0</v>
      </c>
      <c r="F214" s="2" t="n">
        <f aca="false">E214</f>
        <v>0</v>
      </c>
      <c r="G214" s="37" t="n">
        <f aca="false">($C$4-E214)^2</f>
        <v>11.4244</v>
      </c>
      <c r="H214" s="38" t="n">
        <f aca="false">2*(E214-$C$4)</f>
        <v>-6.76</v>
      </c>
      <c r="I214" s="2" t="n">
        <f aca="false">EXP(E214)/(1 + EXP(E214))^2</f>
        <v>0.25</v>
      </c>
      <c r="J214" s="39" t="n">
        <v>1</v>
      </c>
      <c r="K214" s="2" t="n">
        <f aca="false">D214</f>
        <v>10</v>
      </c>
      <c r="L214" s="39" t="n">
        <f aca="false">-1*$C$14*H214*I214*J214</f>
        <v>0</v>
      </c>
      <c r="M214" s="2" t="n">
        <f aca="false">-1*$C$14*H214*I214*K214</f>
        <v>0</v>
      </c>
    </row>
    <row r="215" customFormat="false" ht="15" hidden="false" customHeight="false" outlineLevel="0" collapsed="false">
      <c r="A215" s="3"/>
      <c r="B215" s="3"/>
      <c r="C215" s="3"/>
      <c r="D215" s="4" t="n">
        <v>15</v>
      </c>
      <c r="E215" s="2" t="n">
        <f aca="false">$A$213+$B$213*D215</f>
        <v>0</v>
      </c>
      <c r="F215" s="2" t="n">
        <f aca="false">E215</f>
        <v>0</v>
      </c>
      <c r="G215" s="37" t="n">
        <f aca="false">($C$5-E215)^2</f>
        <v>14.8996</v>
      </c>
      <c r="H215" s="38" t="n">
        <f aca="false">2*(E215-$C$5)</f>
        <v>-7.72</v>
      </c>
      <c r="I215" s="2" t="n">
        <f aca="false">EXP(E215)/(1 + EXP(E215))^2</f>
        <v>0.25</v>
      </c>
      <c r="J215" s="39" t="n">
        <v>1</v>
      </c>
      <c r="K215" s="2" t="n">
        <f aca="false">D215</f>
        <v>15</v>
      </c>
      <c r="L215" s="39" t="n">
        <f aca="false">-1*$C$14*H215*I215*J215</f>
        <v>0</v>
      </c>
      <c r="M215" s="2" t="n">
        <f aca="false">-1*$C$14*H215*I215*K215</f>
        <v>0</v>
      </c>
    </row>
    <row r="216" customFormat="false" ht="15" hidden="false" customHeight="false" outlineLevel="0" collapsed="false">
      <c r="A216" s="3"/>
      <c r="B216" s="3"/>
      <c r="C216" s="3"/>
      <c r="D216" s="4" t="n">
        <v>20</v>
      </c>
      <c r="E216" s="2" t="n">
        <f aca="false">$A$213+$B$213*D216</f>
        <v>0</v>
      </c>
      <c r="F216" s="2" t="n">
        <f aca="false">E216</f>
        <v>0</v>
      </c>
      <c r="G216" s="37" t="n">
        <f aca="false">($C$6-E216)^2</f>
        <v>20.9764</v>
      </c>
      <c r="H216" s="38" t="n">
        <f aca="false">2*(E216-$C$6)</f>
        <v>-9.16</v>
      </c>
      <c r="I216" s="2" t="n">
        <f aca="false">EXP(E216)/(1 + EXP(E216))^2</f>
        <v>0.25</v>
      </c>
      <c r="J216" s="39" t="n">
        <v>1</v>
      </c>
      <c r="K216" s="2" t="n">
        <f aca="false">D216</f>
        <v>20</v>
      </c>
      <c r="L216" s="39" t="n">
        <f aca="false">-1*$C$14*H216*I216*J216</f>
        <v>0</v>
      </c>
      <c r="M216" s="2" t="n">
        <f aca="false">-1*$C$14*H216*I216*K216</f>
        <v>0</v>
      </c>
    </row>
    <row r="217" customFormat="false" ht="15" hidden="false" customHeight="false" outlineLevel="0" collapsed="false">
      <c r="A217" s="3"/>
      <c r="B217" s="3"/>
      <c r="C217" s="3"/>
      <c r="D217" s="4" t="n">
        <v>25</v>
      </c>
      <c r="E217" s="2" t="n">
        <f aca="false">$A$213+$B$213*D217</f>
        <v>0</v>
      </c>
      <c r="F217" s="2" t="n">
        <f aca="false">E217</f>
        <v>0</v>
      </c>
      <c r="G217" s="37" t="n">
        <f aca="false">($C$7-E217)^2</f>
        <v>75.4002777777778</v>
      </c>
      <c r="H217" s="38" t="n">
        <f aca="false">2*(E217-$C$7)</f>
        <v>-17.3666666666667</v>
      </c>
      <c r="I217" s="2" t="n">
        <f aca="false">EXP(E217)/(1 + EXP(E217))^2</f>
        <v>0.25</v>
      </c>
      <c r="J217" s="39" t="n">
        <v>1</v>
      </c>
      <c r="K217" s="2" t="n">
        <f aca="false">D217</f>
        <v>25</v>
      </c>
      <c r="L217" s="39" t="n">
        <f aca="false">-1*$C$14*H217*I217*J217</f>
        <v>0</v>
      </c>
      <c r="M217" s="2" t="n">
        <f aca="false">-1*$C$14*H217*I217*K217</f>
        <v>0</v>
      </c>
    </row>
    <row r="218" customFormat="false" ht="15" hidden="false" customHeight="false" outlineLevel="0" collapsed="false">
      <c r="A218" s="3"/>
      <c r="B218" s="3"/>
      <c r="C218" s="3"/>
      <c r="D218" s="4" t="n">
        <v>30</v>
      </c>
      <c r="E218" s="2" t="n">
        <f aca="false">$A$213+$B$213*D218</f>
        <v>0</v>
      </c>
      <c r="F218" s="2" t="n">
        <f aca="false">E218</f>
        <v>0</v>
      </c>
      <c r="G218" s="37" t="n">
        <f aca="false">($C$8-E218)^2</f>
        <v>80.2816</v>
      </c>
      <c r="H218" s="38" t="n">
        <f aca="false">2*(E218-$C$8)</f>
        <v>-17.92</v>
      </c>
      <c r="I218" s="2" t="n">
        <f aca="false">EXP(E218)/(1 + EXP(E218))^2</f>
        <v>0.25</v>
      </c>
      <c r="J218" s="39" t="n">
        <v>1</v>
      </c>
      <c r="K218" s="2" t="n">
        <f aca="false">D218</f>
        <v>30</v>
      </c>
      <c r="L218" s="39" t="n">
        <f aca="false">-1*$C$14*H218*I218*J218</f>
        <v>0</v>
      </c>
      <c r="M218" s="2" t="n">
        <f aca="false">-1*$C$14*H218*I218*K218</f>
        <v>0</v>
      </c>
    </row>
    <row r="219" customFormat="false" ht="15" hidden="false" customHeight="false" outlineLevel="0" collapsed="false">
      <c r="A219" s="3"/>
      <c r="B219" s="3"/>
      <c r="C219" s="3"/>
      <c r="D219" s="4" t="n">
        <v>35</v>
      </c>
      <c r="E219" s="2" t="n">
        <f aca="false">$A$213+$B$213*D219</f>
        <v>0</v>
      </c>
      <c r="F219" s="2" t="n">
        <f aca="false">E219</f>
        <v>0</v>
      </c>
      <c r="G219" s="37" t="n">
        <f aca="false">($C$9-E219)^2</f>
        <v>101.136544444444</v>
      </c>
      <c r="H219" s="38" t="n">
        <f aca="false">2*(E219-$C$9)</f>
        <v>-20.1133333333333</v>
      </c>
      <c r="I219" s="2" t="n">
        <f aca="false">EXP(E219)/(1 + EXP(E219))^2</f>
        <v>0.25</v>
      </c>
      <c r="J219" s="39" t="n">
        <v>1</v>
      </c>
      <c r="K219" s="2" t="n">
        <f aca="false">D219</f>
        <v>35</v>
      </c>
      <c r="L219" s="39" t="n">
        <f aca="false">-1*$C$14*H219*I219*J219</f>
        <v>0</v>
      </c>
      <c r="M219" s="2" t="n">
        <f aca="false">-1*$C$14*H219*I219*K219</f>
        <v>0</v>
      </c>
    </row>
    <row r="220" customFormat="false" ht="15" hidden="false" customHeight="false" outlineLevel="0" collapsed="false">
      <c r="A220" s="3"/>
      <c r="B220" s="3"/>
      <c r="C220" s="3"/>
      <c r="D220" s="4" t="n">
        <v>40</v>
      </c>
      <c r="E220" s="2" t="n">
        <f aca="false">$A$213+$B$213*D220</f>
        <v>0</v>
      </c>
      <c r="F220" s="2" t="n">
        <f aca="false">E220</f>
        <v>0</v>
      </c>
      <c r="G220" s="37" t="n">
        <f aca="false">($C$10-E220)^2</f>
        <v>168.826711111111</v>
      </c>
      <c r="H220" s="38" t="n">
        <f aca="false">2*(E220-$C$10)</f>
        <v>-25.9866666666667</v>
      </c>
      <c r="I220" s="2" t="n">
        <f aca="false">EXP(E220)/(1 + EXP(E220))^2</f>
        <v>0.25</v>
      </c>
      <c r="J220" s="39" t="n">
        <v>1</v>
      </c>
      <c r="K220" s="2" t="n">
        <f aca="false">D220</f>
        <v>40</v>
      </c>
      <c r="L220" s="39" t="n">
        <f aca="false">-1*$C$14*H220*I220*J220</f>
        <v>0</v>
      </c>
      <c r="M220" s="2" t="n">
        <f aca="false">-1*$C$14*H220*I220*K220</f>
        <v>0</v>
      </c>
    </row>
    <row r="221" customFormat="false" ht="15" hidden="false" customHeight="false" outlineLevel="0" collapsed="false">
      <c r="A221" s="3"/>
      <c r="B221" s="3"/>
      <c r="C221" s="3"/>
      <c r="D221" s="4" t="n">
        <v>45</v>
      </c>
      <c r="E221" s="2" t="n">
        <f aca="false">$A$213+$B$213*D221</f>
        <v>0</v>
      </c>
      <c r="F221" s="2" t="n">
        <f aca="false">E221</f>
        <v>0</v>
      </c>
      <c r="G221" s="37" t="n">
        <f aca="false">($C$11-E221)^2</f>
        <v>208.2249</v>
      </c>
      <c r="H221" s="38" t="n">
        <f aca="false">2*(E221-$C$11)</f>
        <v>-28.86</v>
      </c>
      <c r="I221" s="2" t="n">
        <f aca="false">EXP(E221)/(1 + EXP(E221))^2</f>
        <v>0.25</v>
      </c>
      <c r="J221" s="39" t="n">
        <v>1</v>
      </c>
      <c r="K221" s="2" t="n">
        <f aca="false">D221</f>
        <v>45</v>
      </c>
      <c r="L221" s="39" t="n">
        <f aca="false">-1*$C$14*H221*I221*J221</f>
        <v>0</v>
      </c>
      <c r="M221" s="2" t="n">
        <f aca="false">-1*$C$14*H221*I221*K221</f>
        <v>0</v>
      </c>
    </row>
    <row r="222" customFormat="false" ht="15" hidden="false" customHeight="false" outlineLevel="0" collapsed="false">
      <c r="A222" s="40"/>
      <c r="B222" s="40"/>
      <c r="C222" s="1"/>
      <c r="D222" s="4" t="n">
        <v>50</v>
      </c>
      <c r="E222" s="2" t="n">
        <f aca="false">$A$213+$B$213*D222</f>
        <v>0</v>
      </c>
      <c r="F222" s="2" t="n">
        <f aca="false">E222</f>
        <v>0</v>
      </c>
      <c r="G222" s="37" t="n">
        <f aca="false">($C$12-E222)^2</f>
        <v>206.401111111111</v>
      </c>
      <c r="H222" s="38" t="n">
        <f aca="false">2*(E222-$C$12)</f>
        <v>-28.7333333333333</v>
      </c>
      <c r="I222" s="2" t="n">
        <f aca="false">EXP(E222)/(1 + EXP(E222))^2</f>
        <v>0.25</v>
      </c>
      <c r="J222" s="39" t="n">
        <v>1</v>
      </c>
      <c r="K222" s="2" t="n">
        <f aca="false">D222</f>
        <v>50</v>
      </c>
      <c r="L222" s="39" t="n">
        <f aca="false">-1*$C$14*H222*I222*J222</f>
        <v>0</v>
      </c>
      <c r="M222" s="2" t="n">
        <f aca="false">-1*$C$14*H222*I222*K222</f>
        <v>0</v>
      </c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41" t="n">
        <f aca="false">SUM(G213:G222)</f>
        <v>892.151144444445</v>
      </c>
      <c r="H223" s="30"/>
      <c r="I223" s="1"/>
      <c r="J223" s="1"/>
      <c r="K223" s="1"/>
      <c r="L223" s="42" t="n">
        <f aca="false">AVERAGE(L213:L222)</f>
        <v>0</v>
      </c>
      <c r="M223" s="42" t="n">
        <f aca="false">AVERAGE(M213:M222)</f>
        <v>0</v>
      </c>
    </row>
    <row r="225" customFormat="false" ht="15" hidden="false" customHeight="false" outlineLevel="0" collapsed="false">
      <c r="A225" s="43" t="s">
        <v>38</v>
      </c>
    </row>
    <row r="226" customFormat="false" ht="15" hidden="false" customHeight="false" outlineLevel="0" collapsed="false">
      <c r="A226" s="3" t="s">
        <v>8</v>
      </c>
      <c r="B226" s="28" t="s">
        <v>9</v>
      </c>
      <c r="C226" s="1"/>
      <c r="D226" s="3" t="s">
        <v>10</v>
      </c>
      <c r="E226" s="29" t="s">
        <v>11</v>
      </c>
      <c r="F226" s="3" t="s">
        <v>12</v>
      </c>
      <c r="G226" s="3" t="s">
        <v>13</v>
      </c>
      <c r="H226" s="30"/>
      <c r="I226" s="1"/>
      <c r="J226" s="31" t="s">
        <v>14</v>
      </c>
      <c r="K226" s="31"/>
      <c r="L226" s="32" t="s">
        <v>15</v>
      </c>
      <c r="M226" s="32"/>
    </row>
    <row r="227" customFormat="false" ht="15" hidden="false" customHeight="false" outlineLevel="0" collapsed="false">
      <c r="A227" s="33" t="s">
        <v>16</v>
      </c>
      <c r="B227" s="33" t="s">
        <v>17</v>
      </c>
      <c r="C227" s="33"/>
      <c r="D227" s="33" t="s">
        <v>18</v>
      </c>
      <c r="E227" s="33" t="s">
        <v>19</v>
      </c>
      <c r="F227" s="33" t="s">
        <v>20</v>
      </c>
      <c r="G227" s="33" t="s">
        <v>21</v>
      </c>
      <c r="H227" s="34" t="s">
        <v>22</v>
      </c>
      <c r="I227" s="35" t="s">
        <v>23</v>
      </c>
      <c r="J227" s="34" t="s">
        <v>24</v>
      </c>
      <c r="K227" s="35" t="s">
        <v>25</v>
      </c>
      <c r="L227" s="36" t="s">
        <v>24</v>
      </c>
      <c r="M227" s="35" t="s">
        <v>25</v>
      </c>
    </row>
    <row r="228" customFormat="false" ht="15" hidden="false" customHeight="false" outlineLevel="0" collapsed="false">
      <c r="A228" s="3" t="n">
        <f aca="false">A213+L223</f>
        <v>0</v>
      </c>
      <c r="B228" s="3" t="n">
        <f aca="false">B213+M223</f>
        <v>0</v>
      </c>
      <c r="C228" s="3"/>
      <c r="D228" s="4" t="n">
        <v>5</v>
      </c>
      <c r="E228" s="2" t="n">
        <f aca="false">$A$228+$B$228*D228</f>
        <v>0</v>
      </c>
      <c r="F228" s="2" t="n">
        <f aca="false">E228</f>
        <v>0</v>
      </c>
      <c r="G228" s="37" t="n">
        <f aca="false">($C$3-E228)^2</f>
        <v>4.5796</v>
      </c>
      <c r="H228" s="38" t="n">
        <f aca="false">2*(E228-$C$3)</f>
        <v>-4.28</v>
      </c>
      <c r="I228" s="2" t="n">
        <f aca="false">EXP(E228)/(1 + EXP(E228))^2</f>
        <v>0.25</v>
      </c>
      <c r="J228" s="39" t="n">
        <v>1</v>
      </c>
      <c r="K228" s="2" t="n">
        <f aca="false">D228</f>
        <v>5</v>
      </c>
      <c r="L228" s="39" t="n">
        <f aca="false">-1*$C$14*H228*I228*J228</f>
        <v>0</v>
      </c>
      <c r="M228" s="2" t="n">
        <f aca="false">-1*$C$14*H228*I228*K228</f>
        <v>0</v>
      </c>
    </row>
    <row r="229" customFormat="false" ht="15" hidden="false" customHeight="false" outlineLevel="0" collapsed="false">
      <c r="A229" s="3"/>
      <c r="B229" s="3"/>
      <c r="C229" s="3"/>
      <c r="D229" s="4" t="n">
        <v>10</v>
      </c>
      <c r="E229" s="2" t="n">
        <f aca="false">$A$228+$B$228*D229</f>
        <v>0</v>
      </c>
      <c r="F229" s="2" t="n">
        <f aca="false">E229</f>
        <v>0</v>
      </c>
      <c r="G229" s="37" t="n">
        <f aca="false">($C$4-E229)^2</f>
        <v>11.4244</v>
      </c>
      <c r="H229" s="38" t="n">
        <f aca="false">2*(E229-$C$4)</f>
        <v>-6.76</v>
      </c>
      <c r="I229" s="2" t="n">
        <f aca="false">EXP(E229)/(1 + EXP(E229))^2</f>
        <v>0.25</v>
      </c>
      <c r="J229" s="39" t="n">
        <v>1</v>
      </c>
      <c r="K229" s="2" t="n">
        <f aca="false">D229</f>
        <v>10</v>
      </c>
      <c r="L229" s="39" t="n">
        <f aca="false">-1*$C$14*H229*I229*J229</f>
        <v>0</v>
      </c>
      <c r="M229" s="2" t="n">
        <f aca="false">-1*$C$14*H229*I229*K229</f>
        <v>0</v>
      </c>
    </row>
    <row r="230" customFormat="false" ht="15" hidden="false" customHeight="false" outlineLevel="0" collapsed="false">
      <c r="A230" s="3"/>
      <c r="B230" s="3"/>
      <c r="C230" s="3"/>
      <c r="D230" s="4" t="n">
        <v>15</v>
      </c>
      <c r="E230" s="2" t="n">
        <f aca="false">$A$228+$B$228*D230</f>
        <v>0</v>
      </c>
      <c r="F230" s="2" t="n">
        <f aca="false">E230</f>
        <v>0</v>
      </c>
      <c r="G230" s="37" t="n">
        <f aca="false">($C$5-E230)^2</f>
        <v>14.8996</v>
      </c>
      <c r="H230" s="38" t="n">
        <f aca="false">2*(E230-$C$5)</f>
        <v>-7.72</v>
      </c>
      <c r="I230" s="2" t="n">
        <f aca="false">EXP(E230)/(1 + EXP(E230))^2</f>
        <v>0.25</v>
      </c>
      <c r="J230" s="39" t="n">
        <v>1</v>
      </c>
      <c r="K230" s="2" t="n">
        <f aca="false">D230</f>
        <v>15</v>
      </c>
      <c r="L230" s="39" t="n">
        <f aca="false">-1*$C$14*H230*I230*J230</f>
        <v>0</v>
      </c>
      <c r="M230" s="2" t="n">
        <f aca="false">-1*$C$14*H230*I230*K230</f>
        <v>0</v>
      </c>
    </row>
    <row r="231" customFormat="false" ht="15" hidden="false" customHeight="false" outlineLevel="0" collapsed="false">
      <c r="A231" s="3"/>
      <c r="B231" s="3"/>
      <c r="C231" s="3"/>
      <c r="D231" s="4" t="n">
        <v>20</v>
      </c>
      <c r="E231" s="2" t="n">
        <f aca="false">$A$228+$B$228*D231</f>
        <v>0</v>
      </c>
      <c r="F231" s="2" t="n">
        <f aca="false">E231</f>
        <v>0</v>
      </c>
      <c r="G231" s="37" t="n">
        <f aca="false">($C$6-E231)^2</f>
        <v>20.9764</v>
      </c>
      <c r="H231" s="38" t="n">
        <f aca="false">2*(E231-$C$6)</f>
        <v>-9.16</v>
      </c>
      <c r="I231" s="2" t="n">
        <f aca="false">EXP(E231)/(1 + EXP(E231))^2</f>
        <v>0.25</v>
      </c>
      <c r="J231" s="39" t="n">
        <v>1</v>
      </c>
      <c r="K231" s="2" t="n">
        <f aca="false">D231</f>
        <v>20</v>
      </c>
      <c r="L231" s="39" t="n">
        <f aca="false">-1*$C$14*H231*I231*J231</f>
        <v>0</v>
      </c>
      <c r="M231" s="2" t="n">
        <f aca="false">-1*$C$14*H231*I231*K231</f>
        <v>0</v>
      </c>
    </row>
    <row r="232" customFormat="false" ht="15" hidden="false" customHeight="false" outlineLevel="0" collapsed="false">
      <c r="A232" s="3"/>
      <c r="B232" s="3"/>
      <c r="C232" s="3"/>
      <c r="D232" s="4" t="n">
        <v>25</v>
      </c>
      <c r="E232" s="2" t="n">
        <f aca="false">$A$228+$B$228*D232</f>
        <v>0</v>
      </c>
      <c r="F232" s="2" t="n">
        <f aca="false">E232</f>
        <v>0</v>
      </c>
      <c r="G232" s="37" t="n">
        <f aca="false">($C$7-E232)^2</f>
        <v>75.4002777777778</v>
      </c>
      <c r="H232" s="38" t="n">
        <f aca="false">2*(E232-$C$7)</f>
        <v>-17.3666666666667</v>
      </c>
      <c r="I232" s="2" t="n">
        <f aca="false">EXP(E232)/(1 + EXP(E232))^2</f>
        <v>0.25</v>
      </c>
      <c r="J232" s="39" t="n">
        <v>1</v>
      </c>
      <c r="K232" s="2" t="n">
        <f aca="false">D232</f>
        <v>25</v>
      </c>
      <c r="L232" s="39" t="n">
        <f aca="false">-1*$C$14*H232*I232*J232</f>
        <v>0</v>
      </c>
      <c r="M232" s="2" t="n">
        <f aca="false">-1*$C$14*H232*I232*K232</f>
        <v>0</v>
      </c>
    </row>
    <row r="233" customFormat="false" ht="15" hidden="false" customHeight="false" outlineLevel="0" collapsed="false">
      <c r="A233" s="3"/>
      <c r="B233" s="3"/>
      <c r="C233" s="3"/>
      <c r="D233" s="4" t="n">
        <v>30</v>
      </c>
      <c r="E233" s="2" t="n">
        <f aca="false">$A$228+$B$228*D233</f>
        <v>0</v>
      </c>
      <c r="F233" s="2" t="n">
        <f aca="false">E233</f>
        <v>0</v>
      </c>
      <c r="G233" s="37" t="n">
        <f aca="false">($C$8-E233)^2</f>
        <v>80.2816</v>
      </c>
      <c r="H233" s="38" t="n">
        <f aca="false">2*(E233-$C$8)</f>
        <v>-17.92</v>
      </c>
      <c r="I233" s="2" t="n">
        <f aca="false">EXP(E233)/(1 + EXP(E233))^2</f>
        <v>0.25</v>
      </c>
      <c r="J233" s="39" t="n">
        <v>1</v>
      </c>
      <c r="K233" s="2" t="n">
        <f aca="false">D233</f>
        <v>30</v>
      </c>
      <c r="L233" s="39" t="n">
        <f aca="false">-1*$C$14*H233*I233*J233</f>
        <v>0</v>
      </c>
      <c r="M233" s="2" t="n">
        <f aca="false">-1*$C$14*H233*I233*K233</f>
        <v>0</v>
      </c>
    </row>
    <row r="234" customFormat="false" ht="15" hidden="false" customHeight="false" outlineLevel="0" collapsed="false">
      <c r="A234" s="3"/>
      <c r="B234" s="3"/>
      <c r="C234" s="3"/>
      <c r="D234" s="4" t="n">
        <v>35</v>
      </c>
      <c r="E234" s="2" t="n">
        <f aca="false">$A$228+$B$228*D234</f>
        <v>0</v>
      </c>
      <c r="F234" s="2" t="n">
        <f aca="false">E234</f>
        <v>0</v>
      </c>
      <c r="G234" s="37" t="n">
        <f aca="false">($C$9-E234)^2</f>
        <v>101.136544444444</v>
      </c>
      <c r="H234" s="38" t="n">
        <f aca="false">2*(E234-$C$9)</f>
        <v>-20.1133333333333</v>
      </c>
      <c r="I234" s="2" t="n">
        <f aca="false">EXP(E234)/(1 + EXP(E234))^2</f>
        <v>0.25</v>
      </c>
      <c r="J234" s="39" t="n">
        <v>1</v>
      </c>
      <c r="K234" s="2" t="n">
        <f aca="false">D234</f>
        <v>35</v>
      </c>
      <c r="L234" s="39" t="n">
        <f aca="false">-1*$C$14*H234*I234*J234</f>
        <v>0</v>
      </c>
      <c r="M234" s="2" t="n">
        <f aca="false">-1*$C$14*H234*I234*K234</f>
        <v>0</v>
      </c>
    </row>
    <row r="235" customFormat="false" ht="15" hidden="false" customHeight="false" outlineLevel="0" collapsed="false">
      <c r="A235" s="3"/>
      <c r="B235" s="3"/>
      <c r="C235" s="3"/>
      <c r="D235" s="4" t="n">
        <v>40</v>
      </c>
      <c r="E235" s="2" t="n">
        <f aca="false">$A$228+$B$228*D235</f>
        <v>0</v>
      </c>
      <c r="F235" s="2" t="n">
        <f aca="false">E235</f>
        <v>0</v>
      </c>
      <c r="G235" s="37" t="n">
        <f aca="false">($C$10-E235)^2</f>
        <v>168.826711111111</v>
      </c>
      <c r="H235" s="38" t="n">
        <f aca="false">2*(E235-$C$10)</f>
        <v>-25.9866666666667</v>
      </c>
      <c r="I235" s="2" t="n">
        <f aca="false">EXP(E235)/(1 + EXP(E235))^2</f>
        <v>0.25</v>
      </c>
      <c r="J235" s="39" t="n">
        <v>1</v>
      </c>
      <c r="K235" s="2" t="n">
        <f aca="false">D235</f>
        <v>40</v>
      </c>
      <c r="L235" s="39" t="n">
        <f aca="false">-1*$C$14*H235*I235*J235</f>
        <v>0</v>
      </c>
      <c r="M235" s="2" t="n">
        <f aca="false">-1*$C$14*H235*I235*K235</f>
        <v>0</v>
      </c>
    </row>
    <row r="236" customFormat="false" ht="15" hidden="false" customHeight="false" outlineLevel="0" collapsed="false">
      <c r="A236" s="3"/>
      <c r="B236" s="3"/>
      <c r="C236" s="3"/>
      <c r="D236" s="4" t="n">
        <v>45</v>
      </c>
      <c r="E236" s="2" t="n">
        <f aca="false">$A$228+$B$228*D236</f>
        <v>0</v>
      </c>
      <c r="F236" s="2" t="n">
        <f aca="false">E236</f>
        <v>0</v>
      </c>
      <c r="G236" s="37" t="n">
        <f aca="false">($C$11-E236)^2</f>
        <v>208.2249</v>
      </c>
      <c r="H236" s="38" t="n">
        <f aca="false">2*(E236-$C$11)</f>
        <v>-28.86</v>
      </c>
      <c r="I236" s="2" t="n">
        <f aca="false">EXP(E236)/(1 + EXP(E236))^2</f>
        <v>0.25</v>
      </c>
      <c r="J236" s="39" t="n">
        <v>1</v>
      </c>
      <c r="K236" s="2" t="n">
        <f aca="false">D236</f>
        <v>45</v>
      </c>
      <c r="L236" s="39" t="n">
        <f aca="false">-1*$C$14*H236*I236*J236</f>
        <v>0</v>
      </c>
      <c r="M236" s="2" t="n">
        <f aca="false">-1*$C$14*H236*I236*K236</f>
        <v>0</v>
      </c>
    </row>
    <row r="237" customFormat="false" ht="15" hidden="false" customHeight="false" outlineLevel="0" collapsed="false">
      <c r="A237" s="40"/>
      <c r="B237" s="40"/>
      <c r="C237" s="1"/>
      <c r="D237" s="4" t="n">
        <v>50</v>
      </c>
      <c r="E237" s="2" t="n">
        <f aca="false">$A$228+$B$228*D237</f>
        <v>0</v>
      </c>
      <c r="F237" s="2" t="n">
        <f aca="false">E237</f>
        <v>0</v>
      </c>
      <c r="G237" s="37" t="n">
        <f aca="false">($C$12-E237)^2</f>
        <v>206.401111111111</v>
      </c>
      <c r="H237" s="38" t="n">
        <f aca="false">2*(E237-$C$12)</f>
        <v>-28.7333333333333</v>
      </c>
      <c r="I237" s="2" t="n">
        <f aca="false">EXP(E237)/(1 + EXP(E237))^2</f>
        <v>0.25</v>
      </c>
      <c r="J237" s="39" t="n">
        <v>1</v>
      </c>
      <c r="K237" s="2" t="n">
        <f aca="false">D237</f>
        <v>50</v>
      </c>
      <c r="L237" s="39" t="n">
        <f aca="false">-1*$C$14*H237*I237*J237</f>
        <v>0</v>
      </c>
      <c r="M237" s="2" t="n">
        <f aca="false">-1*$C$14*H237*I237*K237</f>
        <v>0</v>
      </c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41" t="n">
        <f aca="false">SUM(G228:G237)</f>
        <v>892.151144444445</v>
      </c>
      <c r="H238" s="30"/>
      <c r="I238" s="1"/>
      <c r="J238" s="1"/>
      <c r="K238" s="1"/>
      <c r="L238" s="42" t="n">
        <f aca="false">AVERAGE(L228:L237)</f>
        <v>0</v>
      </c>
      <c r="M238" s="42" t="n">
        <f aca="false">AVERAGE(M228:M237)</f>
        <v>0</v>
      </c>
    </row>
    <row r="240" customFormat="false" ht="15" hidden="false" customHeight="false" outlineLevel="0" collapsed="false">
      <c r="A240" s="43" t="s">
        <v>39</v>
      </c>
    </row>
    <row r="241" customFormat="false" ht="15" hidden="false" customHeight="false" outlineLevel="0" collapsed="false">
      <c r="A241" s="3" t="s">
        <v>8</v>
      </c>
      <c r="B241" s="28" t="s">
        <v>9</v>
      </c>
      <c r="C241" s="1"/>
      <c r="D241" s="3" t="s">
        <v>10</v>
      </c>
      <c r="E241" s="29" t="s">
        <v>11</v>
      </c>
      <c r="F241" s="3" t="s">
        <v>12</v>
      </c>
      <c r="G241" s="3" t="s">
        <v>13</v>
      </c>
      <c r="H241" s="30"/>
      <c r="I241" s="1"/>
      <c r="J241" s="31" t="s">
        <v>14</v>
      </c>
      <c r="K241" s="31"/>
      <c r="L241" s="32" t="s">
        <v>15</v>
      </c>
      <c r="M241" s="32"/>
    </row>
    <row r="242" customFormat="false" ht="15" hidden="false" customHeight="false" outlineLevel="0" collapsed="false">
      <c r="A242" s="33" t="s">
        <v>16</v>
      </c>
      <c r="B242" s="33" t="s">
        <v>17</v>
      </c>
      <c r="C242" s="33"/>
      <c r="D242" s="33" t="s">
        <v>18</v>
      </c>
      <c r="E242" s="33" t="s">
        <v>19</v>
      </c>
      <c r="F242" s="33" t="s">
        <v>20</v>
      </c>
      <c r="G242" s="33" t="s">
        <v>21</v>
      </c>
      <c r="H242" s="34" t="s">
        <v>22</v>
      </c>
      <c r="I242" s="35" t="s">
        <v>23</v>
      </c>
      <c r="J242" s="34" t="s">
        <v>24</v>
      </c>
      <c r="K242" s="35" t="s">
        <v>25</v>
      </c>
      <c r="L242" s="36" t="s">
        <v>24</v>
      </c>
      <c r="M242" s="35" t="s">
        <v>25</v>
      </c>
    </row>
    <row r="243" customFormat="false" ht="15" hidden="false" customHeight="false" outlineLevel="0" collapsed="false">
      <c r="A243" s="3" t="n">
        <f aca="false">A228+L238</f>
        <v>0</v>
      </c>
      <c r="B243" s="3" t="n">
        <f aca="false">B228+M238</f>
        <v>0</v>
      </c>
      <c r="C243" s="3"/>
      <c r="D243" s="4" t="n">
        <v>5</v>
      </c>
      <c r="E243" s="2" t="n">
        <f aca="false">$A$243+$B$243*D243</f>
        <v>0</v>
      </c>
      <c r="F243" s="2" t="n">
        <f aca="false">E243</f>
        <v>0</v>
      </c>
      <c r="G243" s="37" t="n">
        <f aca="false">($C$3-E243)^2</f>
        <v>4.5796</v>
      </c>
      <c r="H243" s="38" t="n">
        <f aca="false">2*(E243-$C$3)</f>
        <v>-4.28</v>
      </c>
      <c r="I243" s="2" t="n">
        <f aca="false">EXP(E243)/(1 + EXP(E243))^2</f>
        <v>0.25</v>
      </c>
      <c r="J243" s="39" t="n">
        <v>1</v>
      </c>
      <c r="K243" s="2" t="n">
        <f aca="false">D243</f>
        <v>5</v>
      </c>
      <c r="L243" s="39" t="n">
        <f aca="false">-1*$C$14*H243*I243*J243</f>
        <v>0</v>
      </c>
      <c r="M243" s="2" t="n">
        <f aca="false">-1*$C$14*H243*I243*K243</f>
        <v>0</v>
      </c>
    </row>
    <row r="244" customFormat="false" ht="15" hidden="false" customHeight="false" outlineLevel="0" collapsed="false">
      <c r="A244" s="3"/>
      <c r="B244" s="3"/>
      <c r="C244" s="3"/>
      <c r="D244" s="4" t="n">
        <v>10</v>
      </c>
      <c r="E244" s="2" t="n">
        <f aca="false">$A$243+$B$243*D244</f>
        <v>0</v>
      </c>
      <c r="F244" s="2" t="n">
        <f aca="false">E244</f>
        <v>0</v>
      </c>
      <c r="G244" s="37" t="n">
        <f aca="false">($C$4-E244)^2</f>
        <v>11.4244</v>
      </c>
      <c r="H244" s="38" t="n">
        <f aca="false">2*(E244-$C$4)</f>
        <v>-6.76</v>
      </c>
      <c r="I244" s="2" t="n">
        <f aca="false">EXP(E244)/(1 + EXP(E244))^2</f>
        <v>0.25</v>
      </c>
      <c r="J244" s="39" t="n">
        <v>1</v>
      </c>
      <c r="K244" s="2" t="n">
        <f aca="false">D244</f>
        <v>10</v>
      </c>
      <c r="L244" s="39" t="n">
        <f aca="false">-1*$C$14*H244*I244*J244</f>
        <v>0</v>
      </c>
      <c r="M244" s="2" t="n">
        <f aca="false">-1*$C$14*H244*I244*K244</f>
        <v>0</v>
      </c>
    </row>
    <row r="245" customFormat="false" ht="15" hidden="false" customHeight="false" outlineLevel="0" collapsed="false">
      <c r="A245" s="3"/>
      <c r="B245" s="3"/>
      <c r="C245" s="3"/>
      <c r="D245" s="4" t="n">
        <v>15</v>
      </c>
      <c r="E245" s="2" t="n">
        <f aca="false">$A$243+$B$243*D245</f>
        <v>0</v>
      </c>
      <c r="F245" s="2" t="n">
        <f aca="false">E245</f>
        <v>0</v>
      </c>
      <c r="G245" s="37" t="n">
        <f aca="false">($C$5-E245)^2</f>
        <v>14.8996</v>
      </c>
      <c r="H245" s="38" t="n">
        <f aca="false">2*(E245-$C$5)</f>
        <v>-7.72</v>
      </c>
      <c r="I245" s="2" t="n">
        <f aca="false">EXP(E245)/(1 + EXP(E245))^2</f>
        <v>0.25</v>
      </c>
      <c r="J245" s="39" t="n">
        <v>1</v>
      </c>
      <c r="K245" s="2" t="n">
        <f aca="false">D245</f>
        <v>15</v>
      </c>
      <c r="L245" s="39" t="n">
        <f aca="false">-1*$C$14*H245*I245*J245</f>
        <v>0</v>
      </c>
      <c r="M245" s="2" t="n">
        <f aca="false">-1*$C$14*H245*I245*K245</f>
        <v>0</v>
      </c>
    </row>
    <row r="246" customFormat="false" ht="15" hidden="false" customHeight="false" outlineLevel="0" collapsed="false">
      <c r="A246" s="3"/>
      <c r="B246" s="3"/>
      <c r="C246" s="3"/>
      <c r="D246" s="4" t="n">
        <v>20</v>
      </c>
      <c r="E246" s="2" t="n">
        <f aca="false">$A$243+$B$243*D246</f>
        <v>0</v>
      </c>
      <c r="F246" s="2" t="n">
        <f aca="false">E246</f>
        <v>0</v>
      </c>
      <c r="G246" s="37" t="n">
        <f aca="false">($C$6-E246)^2</f>
        <v>20.9764</v>
      </c>
      <c r="H246" s="38" t="n">
        <f aca="false">2*(E246-$C$6)</f>
        <v>-9.16</v>
      </c>
      <c r="I246" s="2" t="n">
        <f aca="false">EXP(E246)/(1 + EXP(E246))^2</f>
        <v>0.25</v>
      </c>
      <c r="J246" s="39" t="n">
        <v>1</v>
      </c>
      <c r="K246" s="2" t="n">
        <f aca="false">D246</f>
        <v>20</v>
      </c>
      <c r="L246" s="39" t="n">
        <f aca="false">-1*$C$14*H246*I246*J246</f>
        <v>0</v>
      </c>
      <c r="M246" s="2" t="n">
        <f aca="false">-1*$C$14*H246*I246*K246</f>
        <v>0</v>
      </c>
    </row>
    <row r="247" customFormat="false" ht="15" hidden="false" customHeight="false" outlineLevel="0" collapsed="false">
      <c r="A247" s="3"/>
      <c r="B247" s="3"/>
      <c r="C247" s="3"/>
      <c r="D247" s="4" t="n">
        <v>25</v>
      </c>
      <c r="E247" s="2" t="n">
        <f aca="false">$A$243+$B$243*D247</f>
        <v>0</v>
      </c>
      <c r="F247" s="2" t="n">
        <f aca="false">E247</f>
        <v>0</v>
      </c>
      <c r="G247" s="37" t="n">
        <f aca="false">($C$7-E247)^2</f>
        <v>75.4002777777778</v>
      </c>
      <c r="H247" s="38" t="n">
        <f aca="false">2*(E247-$C$7)</f>
        <v>-17.3666666666667</v>
      </c>
      <c r="I247" s="2" t="n">
        <f aca="false">EXP(E247)/(1 + EXP(E247))^2</f>
        <v>0.25</v>
      </c>
      <c r="J247" s="39" t="n">
        <v>1</v>
      </c>
      <c r="K247" s="2" t="n">
        <f aca="false">D247</f>
        <v>25</v>
      </c>
      <c r="L247" s="39" t="n">
        <f aca="false">-1*$C$14*H247*I247*J247</f>
        <v>0</v>
      </c>
      <c r="M247" s="2" t="n">
        <f aca="false">-1*$C$14*H247*I247*K247</f>
        <v>0</v>
      </c>
    </row>
    <row r="248" customFormat="false" ht="15" hidden="false" customHeight="false" outlineLevel="0" collapsed="false">
      <c r="A248" s="3"/>
      <c r="B248" s="3"/>
      <c r="C248" s="3"/>
      <c r="D248" s="4" t="n">
        <v>30</v>
      </c>
      <c r="E248" s="2" t="n">
        <f aca="false">$A$243+$B$243*D248</f>
        <v>0</v>
      </c>
      <c r="F248" s="2" t="n">
        <f aca="false">E248</f>
        <v>0</v>
      </c>
      <c r="G248" s="37" t="n">
        <f aca="false">($C$8-E248)^2</f>
        <v>80.2816</v>
      </c>
      <c r="H248" s="38" t="n">
        <f aca="false">2*(E248-$C$8)</f>
        <v>-17.92</v>
      </c>
      <c r="I248" s="2" t="n">
        <f aca="false">EXP(E248)/(1 + EXP(E248))^2</f>
        <v>0.25</v>
      </c>
      <c r="J248" s="39" t="n">
        <v>1</v>
      </c>
      <c r="K248" s="2" t="n">
        <f aca="false">D248</f>
        <v>30</v>
      </c>
      <c r="L248" s="39" t="n">
        <f aca="false">-1*$C$14*H248*I248*J248</f>
        <v>0</v>
      </c>
      <c r="M248" s="2" t="n">
        <f aca="false">-1*$C$14*H248*I248*K248</f>
        <v>0</v>
      </c>
    </row>
    <row r="249" customFormat="false" ht="15" hidden="false" customHeight="false" outlineLevel="0" collapsed="false">
      <c r="A249" s="3"/>
      <c r="B249" s="3"/>
      <c r="C249" s="3"/>
      <c r="D249" s="4" t="n">
        <v>35</v>
      </c>
      <c r="E249" s="2" t="n">
        <f aca="false">$A$243+$B$243*D249</f>
        <v>0</v>
      </c>
      <c r="F249" s="2" t="n">
        <f aca="false">E249</f>
        <v>0</v>
      </c>
      <c r="G249" s="37" t="n">
        <f aca="false">($C$9-E249)^2</f>
        <v>101.136544444444</v>
      </c>
      <c r="H249" s="38" t="n">
        <f aca="false">2*(E249-$C$9)</f>
        <v>-20.1133333333333</v>
      </c>
      <c r="I249" s="2" t="n">
        <f aca="false">EXP(E249)/(1 + EXP(E249))^2</f>
        <v>0.25</v>
      </c>
      <c r="J249" s="39" t="n">
        <v>1</v>
      </c>
      <c r="K249" s="2" t="n">
        <f aca="false">D249</f>
        <v>35</v>
      </c>
      <c r="L249" s="39" t="n">
        <f aca="false">-1*$C$14*H249*I249*J249</f>
        <v>0</v>
      </c>
      <c r="M249" s="2" t="n">
        <f aca="false">-1*$C$14*H249*I249*K249</f>
        <v>0</v>
      </c>
    </row>
    <row r="250" customFormat="false" ht="15" hidden="false" customHeight="false" outlineLevel="0" collapsed="false">
      <c r="A250" s="3"/>
      <c r="B250" s="3"/>
      <c r="C250" s="3"/>
      <c r="D250" s="4" t="n">
        <v>40</v>
      </c>
      <c r="E250" s="2" t="n">
        <f aca="false">$A$243+$B$243*D250</f>
        <v>0</v>
      </c>
      <c r="F250" s="2" t="n">
        <f aca="false">E250</f>
        <v>0</v>
      </c>
      <c r="G250" s="37" t="n">
        <f aca="false">($C$10-E250)^2</f>
        <v>168.826711111111</v>
      </c>
      <c r="H250" s="38" t="n">
        <f aca="false">2*(E250-$C$10)</f>
        <v>-25.9866666666667</v>
      </c>
      <c r="I250" s="2" t="n">
        <f aca="false">EXP(E250)/(1 + EXP(E250))^2</f>
        <v>0.25</v>
      </c>
      <c r="J250" s="39" t="n">
        <v>1</v>
      </c>
      <c r="K250" s="2" t="n">
        <f aca="false">D250</f>
        <v>40</v>
      </c>
      <c r="L250" s="39" t="n">
        <f aca="false">-1*$C$14*H250*I250*J250</f>
        <v>0</v>
      </c>
      <c r="M250" s="2" t="n">
        <f aca="false">-1*$C$14*H250*I250*K250</f>
        <v>0</v>
      </c>
    </row>
    <row r="251" customFormat="false" ht="15" hidden="false" customHeight="false" outlineLevel="0" collapsed="false">
      <c r="A251" s="3"/>
      <c r="B251" s="3"/>
      <c r="C251" s="3"/>
      <c r="D251" s="4" t="n">
        <v>45</v>
      </c>
      <c r="E251" s="2" t="n">
        <f aca="false">$A$243+$B$243*D251</f>
        <v>0</v>
      </c>
      <c r="F251" s="2" t="n">
        <f aca="false">E251</f>
        <v>0</v>
      </c>
      <c r="G251" s="37" t="n">
        <f aca="false">($C$11-E251)^2</f>
        <v>208.2249</v>
      </c>
      <c r="H251" s="38" t="n">
        <f aca="false">2*(E251-$C$11)</f>
        <v>-28.86</v>
      </c>
      <c r="I251" s="2" t="n">
        <f aca="false">EXP(E251)/(1 + EXP(E251))^2</f>
        <v>0.25</v>
      </c>
      <c r="J251" s="39" t="n">
        <v>1</v>
      </c>
      <c r="K251" s="2" t="n">
        <f aca="false">D251</f>
        <v>45</v>
      </c>
      <c r="L251" s="39" t="n">
        <f aca="false">-1*$C$14*H251*I251*J251</f>
        <v>0</v>
      </c>
      <c r="M251" s="2" t="n">
        <f aca="false">-1*$C$14*H251*I251*K251</f>
        <v>0</v>
      </c>
    </row>
    <row r="252" customFormat="false" ht="15" hidden="false" customHeight="false" outlineLevel="0" collapsed="false">
      <c r="A252" s="40"/>
      <c r="B252" s="40"/>
      <c r="C252" s="1"/>
      <c r="D252" s="4" t="n">
        <v>50</v>
      </c>
      <c r="E252" s="2" t="n">
        <f aca="false">$A$243+$B$243*D252</f>
        <v>0</v>
      </c>
      <c r="F252" s="2" t="n">
        <f aca="false">E252</f>
        <v>0</v>
      </c>
      <c r="G252" s="37" t="n">
        <f aca="false">($C$12-E252)^2</f>
        <v>206.401111111111</v>
      </c>
      <c r="H252" s="38" t="n">
        <f aca="false">2*(E252-$C$12)</f>
        <v>-28.7333333333333</v>
      </c>
      <c r="I252" s="2" t="n">
        <f aca="false">EXP(E252)/(1 + EXP(E252))^2</f>
        <v>0.25</v>
      </c>
      <c r="J252" s="39" t="n">
        <v>1</v>
      </c>
      <c r="K252" s="2" t="n">
        <f aca="false">D252</f>
        <v>50</v>
      </c>
      <c r="L252" s="39" t="n">
        <f aca="false">-1*$C$14*H252*I252*J252</f>
        <v>0</v>
      </c>
      <c r="M252" s="2" t="n">
        <f aca="false">-1*$C$14*H252*I252*K252</f>
        <v>0</v>
      </c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41" t="n">
        <f aca="false">SUM(G243:G252)</f>
        <v>892.151144444445</v>
      </c>
      <c r="H253" s="30"/>
      <c r="I253" s="1"/>
      <c r="J253" s="1"/>
      <c r="K253" s="1"/>
      <c r="L253" s="42" t="n">
        <f aca="false">AVERAGE(L243:L252)</f>
        <v>0</v>
      </c>
      <c r="M253" s="42" t="n">
        <f aca="false">AVERAGE(M243:M252)</f>
        <v>0</v>
      </c>
    </row>
    <row r="255" customFormat="false" ht="15" hidden="false" customHeight="false" outlineLevel="0" collapsed="false">
      <c r="A255" s="43" t="s">
        <v>40</v>
      </c>
    </row>
    <row r="256" customFormat="false" ht="15" hidden="false" customHeight="false" outlineLevel="0" collapsed="false">
      <c r="A256" s="3" t="s">
        <v>8</v>
      </c>
      <c r="B256" s="28" t="s">
        <v>9</v>
      </c>
      <c r="C256" s="1"/>
      <c r="D256" s="3" t="s">
        <v>10</v>
      </c>
      <c r="E256" s="29" t="s">
        <v>11</v>
      </c>
      <c r="F256" s="3" t="s">
        <v>12</v>
      </c>
      <c r="G256" s="3" t="s">
        <v>13</v>
      </c>
      <c r="H256" s="30"/>
      <c r="I256" s="1"/>
      <c r="J256" s="31" t="s">
        <v>14</v>
      </c>
      <c r="K256" s="31"/>
      <c r="L256" s="32" t="s">
        <v>15</v>
      </c>
      <c r="M256" s="32"/>
    </row>
    <row r="257" customFormat="false" ht="15" hidden="false" customHeight="false" outlineLevel="0" collapsed="false">
      <c r="A257" s="33" t="s">
        <v>16</v>
      </c>
      <c r="B257" s="33" t="s">
        <v>17</v>
      </c>
      <c r="C257" s="33"/>
      <c r="D257" s="33" t="s">
        <v>18</v>
      </c>
      <c r="E257" s="33" t="s">
        <v>19</v>
      </c>
      <c r="F257" s="33" t="s">
        <v>20</v>
      </c>
      <c r="G257" s="33" t="s">
        <v>21</v>
      </c>
      <c r="H257" s="34" t="s">
        <v>22</v>
      </c>
      <c r="I257" s="35" t="s">
        <v>23</v>
      </c>
      <c r="J257" s="34" t="s">
        <v>24</v>
      </c>
      <c r="K257" s="35" t="s">
        <v>25</v>
      </c>
      <c r="L257" s="36" t="s">
        <v>24</v>
      </c>
      <c r="M257" s="35" t="s">
        <v>25</v>
      </c>
    </row>
    <row r="258" customFormat="false" ht="15" hidden="false" customHeight="false" outlineLevel="0" collapsed="false">
      <c r="A258" s="3" t="n">
        <f aca="false">A243+L253</f>
        <v>0</v>
      </c>
      <c r="B258" s="3" t="n">
        <f aca="false">B243+M253</f>
        <v>0</v>
      </c>
      <c r="C258" s="3"/>
      <c r="D258" s="4" t="n">
        <v>5</v>
      </c>
      <c r="E258" s="2" t="n">
        <f aca="false">$A$258+$B$258*D258</f>
        <v>0</v>
      </c>
      <c r="F258" s="2" t="n">
        <f aca="false">E258</f>
        <v>0</v>
      </c>
      <c r="G258" s="37" t="n">
        <f aca="false">($C$3-E258)^2</f>
        <v>4.5796</v>
      </c>
      <c r="H258" s="38" t="n">
        <f aca="false">2*(E258-$C$3)</f>
        <v>-4.28</v>
      </c>
      <c r="I258" s="2" t="n">
        <f aca="false">EXP(E258)/(1 + EXP(E258))^2</f>
        <v>0.25</v>
      </c>
      <c r="J258" s="39" t="n">
        <v>1</v>
      </c>
      <c r="K258" s="2" t="n">
        <f aca="false">D258</f>
        <v>5</v>
      </c>
      <c r="L258" s="39" t="n">
        <f aca="false">-1*$C$14*H258*I258*J258</f>
        <v>0</v>
      </c>
      <c r="M258" s="2" t="n">
        <f aca="false">-1*$C$14*H258*I258*K258</f>
        <v>0</v>
      </c>
    </row>
    <row r="259" customFormat="false" ht="15" hidden="false" customHeight="false" outlineLevel="0" collapsed="false">
      <c r="A259" s="3"/>
      <c r="B259" s="3"/>
      <c r="C259" s="3"/>
      <c r="D259" s="4" t="n">
        <v>10</v>
      </c>
      <c r="E259" s="2" t="n">
        <f aca="false">$A$258+$B$258*D259</f>
        <v>0</v>
      </c>
      <c r="F259" s="2" t="n">
        <f aca="false">E259</f>
        <v>0</v>
      </c>
      <c r="G259" s="37" t="n">
        <f aca="false">($C$4-E259)^2</f>
        <v>11.4244</v>
      </c>
      <c r="H259" s="38" t="n">
        <f aca="false">2*(E259-$C$4)</f>
        <v>-6.76</v>
      </c>
      <c r="I259" s="2" t="n">
        <f aca="false">EXP(E259)/(1 + EXP(E259))^2</f>
        <v>0.25</v>
      </c>
      <c r="J259" s="39" t="n">
        <v>1</v>
      </c>
      <c r="K259" s="2" t="n">
        <f aca="false">D259</f>
        <v>10</v>
      </c>
      <c r="L259" s="39" t="n">
        <f aca="false">-1*$C$14*H259*I259*J259</f>
        <v>0</v>
      </c>
      <c r="M259" s="2" t="n">
        <f aca="false">-1*$C$14*H259*I259*K259</f>
        <v>0</v>
      </c>
    </row>
    <row r="260" customFormat="false" ht="15" hidden="false" customHeight="false" outlineLevel="0" collapsed="false">
      <c r="A260" s="3"/>
      <c r="B260" s="3"/>
      <c r="C260" s="3"/>
      <c r="D260" s="4" t="n">
        <v>15</v>
      </c>
      <c r="E260" s="2" t="n">
        <f aca="false">$A$258+$B$258*D260</f>
        <v>0</v>
      </c>
      <c r="F260" s="2" t="n">
        <f aca="false">E260</f>
        <v>0</v>
      </c>
      <c r="G260" s="37" t="n">
        <f aca="false">($C$5-E260)^2</f>
        <v>14.8996</v>
      </c>
      <c r="H260" s="38" t="n">
        <f aca="false">2*(E260-$C$5)</f>
        <v>-7.72</v>
      </c>
      <c r="I260" s="2" t="n">
        <f aca="false">EXP(E260)/(1 + EXP(E260))^2</f>
        <v>0.25</v>
      </c>
      <c r="J260" s="39" t="n">
        <v>1</v>
      </c>
      <c r="K260" s="2" t="n">
        <f aca="false">D260</f>
        <v>15</v>
      </c>
      <c r="L260" s="39" t="n">
        <f aca="false">-1*$C$14*H260*I260*J260</f>
        <v>0</v>
      </c>
      <c r="M260" s="2" t="n">
        <f aca="false">-1*$C$14*H260*I260*K260</f>
        <v>0</v>
      </c>
    </row>
    <row r="261" customFormat="false" ht="15" hidden="false" customHeight="false" outlineLevel="0" collapsed="false">
      <c r="A261" s="3"/>
      <c r="B261" s="3"/>
      <c r="C261" s="3"/>
      <c r="D261" s="4" t="n">
        <v>20</v>
      </c>
      <c r="E261" s="2" t="n">
        <f aca="false">$A$258+$B$258*D261</f>
        <v>0</v>
      </c>
      <c r="F261" s="2" t="n">
        <f aca="false">E261</f>
        <v>0</v>
      </c>
      <c r="G261" s="37" t="n">
        <f aca="false">($C$6-E261)^2</f>
        <v>20.9764</v>
      </c>
      <c r="H261" s="38" t="n">
        <f aca="false">2*(E261-$C$6)</f>
        <v>-9.16</v>
      </c>
      <c r="I261" s="2" t="n">
        <f aca="false">EXP(E261)/(1 + EXP(E261))^2</f>
        <v>0.25</v>
      </c>
      <c r="J261" s="39" t="n">
        <v>1</v>
      </c>
      <c r="K261" s="2" t="n">
        <f aca="false">D261</f>
        <v>20</v>
      </c>
      <c r="L261" s="39" t="n">
        <f aca="false">-1*$C$14*H261*I261*J261</f>
        <v>0</v>
      </c>
      <c r="M261" s="2" t="n">
        <f aca="false">-1*$C$14*H261*I261*K261</f>
        <v>0</v>
      </c>
    </row>
    <row r="262" customFormat="false" ht="15" hidden="false" customHeight="false" outlineLevel="0" collapsed="false">
      <c r="A262" s="3"/>
      <c r="B262" s="3"/>
      <c r="C262" s="3"/>
      <c r="D262" s="4" t="n">
        <v>25</v>
      </c>
      <c r="E262" s="2" t="n">
        <f aca="false">$A$258+$B$258*D262</f>
        <v>0</v>
      </c>
      <c r="F262" s="2" t="n">
        <f aca="false">E262</f>
        <v>0</v>
      </c>
      <c r="G262" s="37" t="n">
        <f aca="false">($C$7-E262)^2</f>
        <v>75.4002777777778</v>
      </c>
      <c r="H262" s="38" t="n">
        <f aca="false">2*(E262-$C$7)</f>
        <v>-17.3666666666667</v>
      </c>
      <c r="I262" s="2" t="n">
        <f aca="false">EXP(E262)/(1 + EXP(E262))^2</f>
        <v>0.25</v>
      </c>
      <c r="J262" s="39" t="n">
        <v>1</v>
      </c>
      <c r="K262" s="2" t="n">
        <f aca="false">D262</f>
        <v>25</v>
      </c>
      <c r="L262" s="39" t="n">
        <f aca="false">-1*$C$14*H262*I262*J262</f>
        <v>0</v>
      </c>
      <c r="M262" s="2" t="n">
        <f aca="false">-1*$C$14*H262*I262*K262</f>
        <v>0</v>
      </c>
    </row>
    <row r="263" customFormat="false" ht="15" hidden="false" customHeight="false" outlineLevel="0" collapsed="false">
      <c r="A263" s="3"/>
      <c r="B263" s="3"/>
      <c r="C263" s="3"/>
      <c r="D263" s="4" t="n">
        <v>30</v>
      </c>
      <c r="E263" s="2" t="n">
        <f aca="false">$A$258+$B$258*D263</f>
        <v>0</v>
      </c>
      <c r="F263" s="2" t="n">
        <f aca="false">E263</f>
        <v>0</v>
      </c>
      <c r="G263" s="37" t="n">
        <f aca="false">($C$8-E263)^2</f>
        <v>80.2816</v>
      </c>
      <c r="H263" s="38" t="n">
        <f aca="false">2*(E263-$C$8)</f>
        <v>-17.92</v>
      </c>
      <c r="I263" s="2" t="n">
        <f aca="false">EXP(E263)/(1 + EXP(E263))^2</f>
        <v>0.25</v>
      </c>
      <c r="J263" s="39" t="n">
        <v>1</v>
      </c>
      <c r="K263" s="2" t="n">
        <f aca="false">D263</f>
        <v>30</v>
      </c>
      <c r="L263" s="39" t="n">
        <f aca="false">-1*$C$14*H263*I263*J263</f>
        <v>0</v>
      </c>
      <c r="M263" s="2" t="n">
        <f aca="false">-1*$C$14*H263*I263*K263</f>
        <v>0</v>
      </c>
    </row>
    <row r="264" customFormat="false" ht="15" hidden="false" customHeight="false" outlineLevel="0" collapsed="false">
      <c r="A264" s="3"/>
      <c r="B264" s="3"/>
      <c r="C264" s="3"/>
      <c r="D264" s="4" t="n">
        <v>35</v>
      </c>
      <c r="E264" s="2" t="n">
        <f aca="false">$A$258+$B$258*D264</f>
        <v>0</v>
      </c>
      <c r="F264" s="2" t="n">
        <f aca="false">E264</f>
        <v>0</v>
      </c>
      <c r="G264" s="37" t="n">
        <f aca="false">($C$9-E264)^2</f>
        <v>101.136544444444</v>
      </c>
      <c r="H264" s="38" t="n">
        <f aca="false">2*(E264-$C$9)</f>
        <v>-20.1133333333333</v>
      </c>
      <c r="I264" s="2" t="n">
        <f aca="false">EXP(E264)/(1 + EXP(E264))^2</f>
        <v>0.25</v>
      </c>
      <c r="J264" s="39" t="n">
        <v>1</v>
      </c>
      <c r="K264" s="2" t="n">
        <f aca="false">D264</f>
        <v>35</v>
      </c>
      <c r="L264" s="39" t="n">
        <f aca="false">-1*$C$14*H264*I264*J264</f>
        <v>0</v>
      </c>
      <c r="M264" s="2" t="n">
        <f aca="false">-1*$C$14*H264*I264*K264</f>
        <v>0</v>
      </c>
    </row>
    <row r="265" customFormat="false" ht="15" hidden="false" customHeight="false" outlineLevel="0" collapsed="false">
      <c r="A265" s="3"/>
      <c r="B265" s="3"/>
      <c r="C265" s="3"/>
      <c r="D265" s="4" t="n">
        <v>40</v>
      </c>
      <c r="E265" s="2" t="n">
        <f aca="false">$A$258+$B$258*D265</f>
        <v>0</v>
      </c>
      <c r="F265" s="2" t="n">
        <f aca="false">E265</f>
        <v>0</v>
      </c>
      <c r="G265" s="37" t="n">
        <f aca="false">($C$10-E265)^2</f>
        <v>168.826711111111</v>
      </c>
      <c r="H265" s="38" t="n">
        <f aca="false">2*(E265-$C$10)</f>
        <v>-25.9866666666667</v>
      </c>
      <c r="I265" s="2" t="n">
        <f aca="false">EXP(E265)/(1 + EXP(E265))^2</f>
        <v>0.25</v>
      </c>
      <c r="J265" s="39" t="n">
        <v>1</v>
      </c>
      <c r="K265" s="2" t="n">
        <f aca="false">D265</f>
        <v>40</v>
      </c>
      <c r="L265" s="39" t="n">
        <f aca="false">-1*$C$14*H265*I265*J265</f>
        <v>0</v>
      </c>
      <c r="M265" s="2" t="n">
        <f aca="false">-1*$C$14*H265*I265*K265</f>
        <v>0</v>
      </c>
    </row>
    <row r="266" customFormat="false" ht="15" hidden="false" customHeight="false" outlineLevel="0" collapsed="false">
      <c r="A266" s="3"/>
      <c r="B266" s="3"/>
      <c r="C266" s="3"/>
      <c r="D266" s="4" t="n">
        <v>45</v>
      </c>
      <c r="E266" s="2" t="n">
        <f aca="false">$A$258+$B$258*D266</f>
        <v>0</v>
      </c>
      <c r="F266" s="2" t="n">
        <f aca="false">E266</f>
        <v>0</v>
      </c>
      <c r="G266" s="37" t="n">
        <f aca="false">($C$11-E266)^2</f>
        <v>208.2249</v>
      </c>
      <c r="H266" s="38" t="n">
        <f aca="false">2*(E266-$C$11)</f>
        <v>-28.86</v>
      </c>
      <c r="I266" s="2" t="n">
        <f aca="false">EXP(E266)/(1 + EXP(E266))^2</f>
        <v>0.25</v>
      </c>
      <c r="J266" s="39" t="n">
        <v>1</v>
      </c>
      <c r="K266" s="2" t="n">
        <f aca="false">D266</f>
        <v>45</v>
      </c>
      <c r="L266" s="39" t="n">
        <f aca="false">-1*$C$14*H266*I266*J266</f>
        <v>0</v>
      </c>
      <c r="M266" s="2" t="n">
        <f aca="false">-1*$C$14*H266*I266*K266</f>
        <v>0</v>
      </c>
    </row>
    <row r="267" customFormat="false" ht="15" hidden="false" customHeight="false" outlineLevel="0" collapsed="false">
      <c r="A267" s="40"/>
      <c r="B267" s="40"/>
      <c r="C267" s="1"/>
      <c r="D267" s="4" t="n">
        <v>50</v>
      </c>
      <c r="E267" s="2" t="n">
        <f aca="false">$A$258+$B$258*D267</f>
        <v>0</v>
      </c>
      <c r="F267" s="2" t="n">
        <f aca="false">E267</f>
        <v>0</v>
      </c>
      <c r="G267" s="37" t="n">
        <f aca="false">($C$12-E267)^2</f>
        <v>206.401111111111</v>
      </c>
      <c r="H267" s="38" t="n">
        <f aca="false">2*(E267-$C$12)</f>
        <v>-28.7333333333333</v>
      </c>
      <c r="I267" s="2" t="n">
        <f aca="false">EXP(E267)/(1 + EXP(E267))^2</f>
        <v>0.25</v>
      </c>
      <c r="J267" s="39" t="n">
        <v>1</v>
      </c>
      <c r="K267" s="2" t="n">
        <f aca="false">D267</f>
        <v>50</v>
      </c>
      <c r="L267" s="39" t="n">
        <f aca="false">-1*$C$14*H267*I267*J267</f>
        <v>0</v>
      </c>
      <c r="M267" s="2" t="n">
        <f aca="false">-1*$C$14*H267*I267*K267</f>
        <v>0</v>
      </c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41" t="n">
        <f aca="false">SUM(G258:G267)</f>
        <v>892.151144444445</v>
      </c>
      <c r="H268" s="30"/>
      <c r="I268" s="1"/>
      <c r="J268" s="1"/>
      <c r="K268" s="1"/>
      <c r="L268" s="42" t="n">
        <f aca="false">AVERAGE(L258:L267)</f>
        <v>0</v>
      </c>
      <c r="M268" s="42" t="n">
        <f aca="false">AVERAGE(M258:M267)</f>
        <v>0</v>
      </c>
    </row>
    <row r="270" customFormat="false" ht="15" hidden="false" customHeight="false" outlineLevel="0" collapsed="false">
      <c r="A270" s="43" t="s">
        <v>41</v>
      </c>
    </row>
    <row r="271" customFormat="false" ht="15" hidden="false" customHeight="false" outlineLevel="0" collapsed="false">
      <c r="A271" s="3" t="s">
        <v>8</v>
      </c>
      <c r="B271" s="28" t="s">
        <v>9</v>
      </c>
      <c r="C271" s="1"/>
      <c r="D271" s="3" t="s">
        <v>10</v>
      </c>
      <c r="E271" s="29" t="s">
        <v>11</v>
      </c>
      <c r="F271" s="3" t="s">
        <v>12</v>
      </c>
      <c r="G271" s="3" t="s">
        <v>13</v>
      </c>
      <c r="H271" s="30"/>
      <c r="I271" s="1"/>
      <c r="J271" s="31" t="s">
        <v>14</v>
      </c>
      <c r="K271" s="31"/>
      <c r="L271" s="32" t="s">
        <v>15</v>
      </c>
      <c r="M271" s="32"/>
    </row>
    <row r="272" customFormat="false" ht="15" hidden="false" customHeight="false" outlineLevel="0" collapsed="false">
      <c r="A272" s="33" t="s">
        <v>16</v>
      </c>
      <c r="B272" s="33" t="s">
        <v>17</v>
      </c>
      <c r="C272" s="33"/>
      <c r="D272" s="33" t="s">
        <v>18</v>
      </c>
      <c r="E272" s="33" t="s">
        <v>19</v>
      </c>
      <c r="F272" s="33" t="s">
        <v>20</v>
      </c>
      <c r="G272" s="33" t="s">
        <v>21</v>
      </c>
      <c r="H272" s="34" t="s">
        <v>22</v>
      </c>
      <c r="I272" s="35" t="s">
        <v>23</v>
      </c>
      <c r="J272" s="34" t="s">
        <v>24</v>
      </c>
      <c r="K272" s="35" t="s">
        <v>25</v>
      </c>
      <c r="L272" s="36" t="s">
        <v>24</v>
      </c>
      <c r="M272" s="35" t="s">
        <v>25</v>
      </c>
    </row>
    <row r="273" customFormat="false" ht="15" hidden="false" customHeight="false" outlineLevel="0" collapsed="false">
      <c r="A273" s="3" t="n">
        <f aca="false">A258+L268</f>
        <v>0</v>
      </c>
      <c r="B273" s="3" t="n">
        <f aca="false">B258+M268</f>
        <v>0</v>
      </c>
      <c r="C273" s="3"/>
      <c r="D273" s="4" t="n">
        <v>5</v>
      </c>
      <c r="E273" s="2" t="n">
        <f aca="false">$A$273+$B$273*D273</f>
        <v>0</v>
      </c>
      <c r="F273" s="2" t="n">
        <f aca="false">E273</f>
        <v>0</v>
      </c>
      <c r="G273" s="37" t="n">
        <f aca="false">($C$3-E273)^2</f>
        <v>4.5796</v>
      </c>
      <c r="H273" s="38" t="n">
        <f aca="false">2*(E273-$C$3)</f>
        <v>-4.28</v>
      </c>
      <c r="I273" s="2" t="n">
        <f aca="false">EXP(E273)/(1 + EXP(E273))^2</f>
        <v>0.25</v>
      </c>
      <c r="J273" s="39" t="n">
        <v>1</v>
      </c>
      <c r="K273" s="2" t="n">
        <f aca="false">D273</f>
        <v>5</v>
      </c>
      <c r="L273" s="39" t="n">
        <f aca="false">-1*$C$14*H273*I273*J273</f>
        <v>0</v>
      </c>
      <c r="M273" s="2" t="n">
        <f aca="false">-1*$C$14*H273*I273*K273</f>
        <v>0</v>
      </c>
    </row>
    <row r="274" customFormat="false" ht="15" hidden="false" customHeight="false" outlineLevel="0" collapsed="false">
      <c r="A274" s="3"/>
      <c r="B274" s="3"/>
      <c r="C274" s="3"/>
      <c r="D274" s="4" t="n">
        <v>10</v>
      </c>
      <c r="E274" s="2" t="n">
        <f aca="false">$A$273+$B$273*D274</f>
        <v>0</v>
      </c>
      <c r="F274" s="2" t="n">
        <f aca="false">E274</f>
        <v>0</v>
      </c>
      <c r="G274" s="37" t="n">
        <f aca="false">($C$4-E274)^2</f>
        <v>11.4244</v>
      </c>
      <c r="H274" s="38" t="n">
        <f aca="false">2*(E274-$C$4)</f>
        <v>-6.76</v>
      </c>
      <c r="I274" s="2" t="n">
        <f aca="false">EXP(E274)/(1 + EXP(E274))^2</f>
        <v>0.25</v>
      </c>
      <c r="J274" s="39" t="n">
        <v>1</v>
      </c>
      <c r="K274" s="2" t="n">
        <f aca="false">D274</f>
        <v>10</v>
      </c>
      <c r="L274" s="39" t="n">
        <f aca="false">-1*$C$14*H274*I274*J274</f>
        <v>0</v>
      </c>
      <c r="M274" s="2" t="n">
        <f aca="false">-1*$C$14*H274*I274*K274</f>
        <v>0</v>
      </c>
    </row>
    <row r="275" customFormat="false" ht="15" hidden="false" customHeight="false" outlineLevel="0" collapsed="false">
      <c r="A275" s="3"/>
      <c r="B275" s="3"/>
      <c r="C275" s="3"/>
      <c r="D275" s="4" t="n">
        <v>15</v>
      </c>
      <c r="E275" s="2" t="n">
        <f aca="false">$A$273+$B$273*D275</f>
        <v>0</v>
      </c>
      <c r="F275" s="2" t="n">
        <f aca="false">E275</f>
        <v>0</v>
      </c>
      <c r="G275" s="37" t="n">
        <f aca="false">($C$5-E275)^2</f>
        <v>14.8996</v>
      </c>
      <c r="H275" s="38" t="n">
        <f aca="false">2*(E275-$C$5)</f>
        <v>-7.72</v>
      </c>
      <c r="I275" s="2" t="n">
        <f aca="false">EXP(E275)/(1 + EXP(E275))^2</f>
        <v>0.25</v>
      </c>
      <c r="J275" s="39" t="n">
        <v>1</v>
      </c>
      <c r="K275" s="2" t="n">
        <f aca="false">D275</f>
        <v>15</v>
      </c>
      <c r="L275" s="39" t="n">
        <f aca="false">-1*$C$14*H275*I275*J275</f>
        <v>0</v>
      </c>
      <c r="M275" s="2" t="n">
        <f aca="false">-1*$C$14*H275*I275*K275</f>
        <v>0</v>
      </c>
    </row>
    <row r="276" customFormat="false" ht="15" hidden="false" customHeight="false" outlineLevel="0" collapsed="false">
      <c r="A276" s="3"/>
      <c r="B276" s="3"/>
      <c r="C276" s="3"/>
      <c r="D276" s="4" t="n">
        <v>20</v>
      </c>
      <c r="E276" s="2" t="n">
        <f aca="false">$A$273+$B$273*D276</f>
        <v>0</v>
      </c>
      <c r="F276" s="2" t="n">
        <f aca="false">E276</f>
        <v>0</v>
      </c>
      <c r="G276" s="37" t="n">
        <f aca="false">($C$6-E276)^2</f>
        <v>20.9764</v>
      </c>
      <c r="H276" s="38" t="n">
        <f aca="false">2*(E276-$C$6)</f>
        <v>-9.16</v>
      </c>
      <c r="I276" s="2" t="n">
        <f aca="false">EXP(E276)/(1 + EXP(E276))^2</f>
        <v>0.25</v>
      </c>
      <c r="J276" s="39" t="n">
        <v>1</v>
      </c>
      <c r="K276" s="2" t="n">
        <f aca="false">D276</f>
        <v>20</v>
      </c>
      <c r="L276" s="39" t="n">
        <f aca="false">-1*$C$14*H276*I276*J276</f>
        <v>0</v>
      </c>
      <c r="M276" s="2" t="n">
        <f aca="false">-1*$C$14*H276*I276*K276</f>
        <v>0</v>
      </c>
    </row>
    <row r="277" customFormat="false" ht="15" hidden="false" customHeight="false" outlineLevel="0" collapsed="false">
      <c r="A277" s="3"/>
      <c r="B277" s="3"/>
      <c r="C277" s="3"/>
      <c r="D277" s="4" t="n">
        <v>25</v>
      </c>
      <c r="E277" s="2" t="n">
        <f aca="false">$A$273+$B$273*D277</f>
        <v>0</v>
      </c>
      <c r="F277" s="2" t="n">
        <f aca="false">E277</f>
        <v>0</v>
      </c>
      <c r="G277" s="37" t="n">
        <f aca="false">($C$7-E277)^2</f>
        <v>75.4002777777778</v>
      </c>
      <c r="H277" s="38" t="n">
        <f aca="false">2*(E277-$C$7)</f>
        <v>-17.3666666666667</v>
      </c>
      <c r="I277" s="2" t="n">
        <f aca="false">EXP(E277)/(1 + EXP(E277))^2</f>
        <v>0.25</v>
      </c>
      <c r="J277" s="39" t="n">
        <v>1</v>
      </c>
      <c r="K277" s="2" t="n">
        <f aca="false">D277</f>
        <v>25</v>
      </c>
      <c r="L277" s="39" t="n">
        <f aca="false">-1*$C$14*H277*I277*J277</f>
        <v>0</v>
      </c>
      <c r="M277" s="2" t="n">
        <f aca="false">-1*$C$14*H277*I277*K277</f>
        <v>0</v>
      </c>
    </row>
    <row r="278" customFormat="false" ht="15" hidden="false" customHeight="false" outlineLevel="0" collapsed="false">
      <c r="A278" s="3"/>
      <c r="B278" s="3"/>
      <c r="C278" s="3"/>
      <c r="D278" s="4" t="n">
        <v>30</v>
      </c>
      <c r="E278" s="2" t="n">
        <f aca="false">$A$273+$B$273*D278</f>
        <v>0</v>
      </c>
      <c r="F278" s="2" t="n">
        <f aca="false">E278</f>
        <v>0</v>
      </c>
      <c r="G278" s="37" t="n">
        <f aca="false">($C$8-E278)^2</f>
        <v>80.2816</v>
      </c>
      <c r="H278" s="38" t="n">
        <f aca="false">2*(E278-$C$8)</f>
        <v>-17.92</v>
      </c>
      <c r="I278" s="2" t="n">
        <f aca="false">EXP(E278)/(1 + EXP(E278))^2</f>
        <v>0.25</v>
      </c>
      <c r="J278" s="39" t="n">
        <v>1</v>
      </c>
      <c r="K278" s="2" t="n">
        <f aca="false">D278</f>
        <v>30</v>
      </c>
      <c r="L278" s="39" t="n">
        <f aca="false">-1*$C$14*H278*I278*J278</f>
        <v>0</v>
      </c>
      <c r="M278" s="2" t="n">
        <f aca="false">-1*$C$14*H278*I278*K278</f>
        <v>0</v>
      </c>
    </row>
    <row r="279" customFormat="false" ht="15" hidden="false" customHeight="false" outlineLevel="0" collapsed="false">
      <c r="A279" s="3"/>
      <c r="B279" s="3"/>
      <c r="C279" s="3"/>
      <c r="D279" s="4" t="n">
        <v>35</v>
      </c>
      <c r="E279" s="2" t="n">
        <f aca="false">$A$273+$B$273*D279</f>
        <v>0</v>
      </c>
      <c r="F279" s="2" t="n">
        <f aca="false">E279</f>
        <v>0</v>
      </c>
      <c r="G279" s="37" t="n">
        <f aca="false">($C$9-E279)^2</f>
        <v>101.136544444444</v>
      </c>
      <c r="H279" s="38" t="n">
        <f aca="false">2*(E279-$C$9)</f>
        <v>-20.1133333333333</v>
      </c>
      <c r="I279" s="2" t="n">
        <f aca="false">EXP(E279)/(1 + EXP(E279))^2</f>
        <v>0.25</v>
      </c>
      <c r="J279" s="39" t="n">
        <v>1</v>
      </c>
      <c r="K279" s="2" t="n">
        <f aca="false">D279</f>
        <v>35</v>
      </c>
      <c r="L279" s="39" t="n">
        <f aca="false">-1*$C$14*H279*I279*J279</f>
        <v>0</v>
      </c>
      <c r="M279" s="2" t="n">
        <f aca="false">-1*$C$14*H279*I279*K279</f>
        <v>0</v>
      </c>
    </row>
    <row r="280" customFormat="false" ht="15" hidden="false" customHeight="false" outlineLevel="0" collapsed="false">
      <c r="A280" s="3"/>
      <c r="B280" s="3"/>
      <c r="C280" s="3"/>
      <c r="D280" s="4" t="n">
        <v>40</v>
      </c>
      <c r="E280" s="2" t="n">
        <f aca="false">$A$273+$B$273*D280</f>
        <v>0</v>
      </c>
      <c r="F280" s="2" t="n">
        <f aca="false">E280</f>
        <v>0</v>
      </c>
      <c r="G280" s="37" t="n">
        <f aca="false">($C$10-E280)^2</f>
        <v>168.826711111111</v>
      </c>
      <c r="H280" s="38" t="n">
        <f aca="false">2*(E280-$C$10)</f>
        <v>-25.9866666666667</v>
      </c>
      <c r="I280" s="2" t="n">
        <f aca="false">EXP(E280)/(1 + EXP(E280))^2</f>
        <v>0.25</v>
      </c>
      <c r="J280" s="39" t="n">
        <v>1</v>
      </c>
      <c r="K280" s="2" t="n">
        <f aca="false">D280</f>
        <v>40</v>
      </c>
      <c r="L280" s="39" t="n">
        <f aca="false">-1*$C$14*H280*I280*J280</f>
        <v>0</v>
      </c>
      <c r="M280" s="2" t="n">
        <f aca="false">-1*$C$14*H280*I280*K280</f>
        <v>0</v>
      </c>
    </row>
    <row r="281" customFormat="false" ht="15" hidden="false" customHeight="false" outlineLevel="0" collapsed="false">
      <c r="A281" s="3"/>
      <c r="B281" s="3"/>
      <c r="C281" s="3"/>
      <c r="D281" s="4" t="n">
        <v>45</v>
      </c>
      <c r="E281" s="2" t="n">
        <f aca="false">$A$273+$B$273*D281</f>
        <v>0</v>
      </c>
      <c r="F281" s="2" t="n">
        <f aca="false">E281</f>
        <v>0</v>
      </c>
      <c r="G281" s="37" t="n">
        <f aca="false">($C$11-E281)^2</f>
        <v>208.2249</v>
      </c>
      <c r="H281" s="38" t="n">
        <f aca="false">2*(E281-$C$11)</f>
        <v>-28.86</v>
      </c>
      <c r="I281" s="2" t="n">
        <f aca="false">EXP(E281)/(1 + EXP(E281))^2</f>
        <v>0.25</v>
      </c>
      <c r="J281" s="39" t="n">
        <v>1</v>
      </c>
      <c r="K281" s="2" t="n">
        <f aca="false">D281</f>
        <v>45</v>
      </c>
      <c r="L281" s="39" t="n">
        <f aca="false">-1*$C$14*H281*I281*J281</f>
        <v>0</v>
      </c>
      <c r="M281" s="2" t="n">
        <f aca="false">-1*$C$14*H281*I281*K281</f>
        <v>0</v>
      </c>
    </row>
    <row r="282" customFormat="false" ht="15" hidden="false" customHeight="false" outlineLevel="0" collapsed="false">
      <c r="A282" s="40"/>
      <c r="B282" s="40"/>
      <c r="C282" s="1"/>
      <c r="D282" s="4" t="n">
        <v>50</v>
      </c>
      <c r="E282" s="2" t="n">
        <f aca="false">$A$273+$B$273*D282</f>
        <v>0</v>
      </c>
      <c r="F282" s="2" t="n">
        <f aca="false">E282</f>
        <v>0</v>
      </c>
      <c r="G282" s="37" t="n">
        <f aca="false">($C$12-E282)^2</f>
        <v>206.401111111111</v>
      </c>
      <c r="H282" s="38" t="n">
        <f aca="false">2*(E282-$C$12)</f>
        <v>-28.7333333333333</v>
      </c>
      <c r="I282" s="2" t="n">
        <f aca="false">EXP(E282)/(1 + EXP(E282))^2</f>
        <v>0.25</v>
      </c>
      <c r="J282" s="39" t="n">
        <v>1</v>
      </c>
      <c r="K282" s="2" t="n">
        <f aca="false">D282</f>
        <v>50</v>
      </c>
      <c r="L282" s="39" t="n">
        <f aca="false">-1*$C$14*H282*I282*J282</f>
        <v>0</v>
      </c>
      <c r="M282" s="2" t="n">
        <f aca="false">-1*$C$14*H282*I282*K282</f>
        <v>0</v>
      </c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41" t="n">
        <f aca="false">SUM(G273:G282)</f>
        <v>892.151144444445</v>
      </c>
      <c r="H283" s="30"/>
      <c r="I283" s="1"/>
      <c r="J283" s="1"/>
      <c r="K283" s="1"/>
      <c r="L283" s="42" t="n">
        <f aca="false">AVERAGE(L273:L282)</f>
        <v>0</v>
      </c>
      <c r="M283" s="42" t="n">
        <f aca="false">AVERAGE(M273:M282)</f>
        <v>0</v>
      </c>
    </row>
    <row r="285" customFormat="false" ht="15" hidden="false" customHeight="false" outlineLevel="0" collapsed="false">
      <c r="A285" s="43" t="s">
        <v>42</v>
      </c>
    </row>
    <row r="286" customFormat="false" ht="15" hidden="false" customHeight="false" outlineLevel="0" collapsed="false">
      <c r="A286" s="3" t="s">
        <v>8</v>
      </c>
      <c r="B286" s="28" t="s">
        <v>9</v>
      </c>
      <c r="C286" s="1"/>
      <c r="D286" s="3" t="s">
        <v>10</v>
      </c>
      <c r="E286" s="29" t="s">
        <v>11</v>
      </c>
      <c r="F286" s="3" t="s">
        <v>12</v>
      </c>
      <c r="G286" s="3" t="s">
        <v>13</v>
      </c>
      <c r="H286" s="30"/>
      <c r="I286" s="1"/>
      <c r="J286" s="31" t="s">
        <v>14</v>
      </c>
      <c r="K286" s="31"/>
      <c r="L286" s="32" t="s">
        <v>15</v>
      </c>
      <c r="M286" s="32"/>
    </row>
    <row r="287" customFormat="false" ht="15" hidden="false" customHeight="false" outlineLevel="0" collapsed="false">
      <c r="A287" s="33" t="s">
        <v>16</v>
      </c>
      <c r="B287" s="33" t="s">
        <v>17</v>
      </c>
      <c r="C287" s="33"/>
      <c r="D287" s="33" t="s">
        <v>18</v>
      </c>
      <c r="E287" s="33" t="s">
        <v>19</v>
      </c>
      <c r="F287" s="33" t="s">
        <v>20</v>
      </c>
      <c r="G287" s="33" t="s">
        <v>21</v>
      </c>
      <c r="H287" s="34" t="s">
        <v>22</v>
      </c>
      <c r="I287" s="35" t="s">
        <v>23</v>
      </c>
      <c r="J287" s="34" t="s">
        <v>24</v>
      </c>
      <c r="K287" s="35" t="s">
        <v>25</v>
      </c>
      <c r="L287" s="36" t="s">
        <v>24</v>
      </c>
      <c r="M287" s="35" t="s">
        <v>25</v>
      </c>
    </row>
    <row r="288" customFormat="false" ht="15" hidden="false" customHeight="false" outlineLevel="0" collapsed="false">
      <c r="A288" s="3" t="n">
        <f aca="false">A273+L283</f>
        <v>0</v>
      </c>
      <c r="B288" s="3" t="n">
        <f aca="false">B273+M283</f>
        <v>0</v>
      </c>
      <c r="C288" s="3"/>
      <c r="D288" s="4" t="n">
        <v>5</v>
      </c>
      <c r="E288" s="2" t="n">
        <f aca="false">$A$288+$B$288*D288</f>
        <v>0</v>
      </c>
      <c r="F288" s="2" t="n">
        <f aca="false">E288</f>
        <v>0</v>
      </c>
      <c r="G288" s="37" t="n">
        <f aca="false">($C$3-E288)^2</f>
        <v>4.5796</v>
      </c>
      <c r="H288" s="38" t="n">
        <f aca="false">2*(E288-$C$3)</f>
        <v>-4.28</v>
      </c>
      <c r="I288" s="2" t="n">
        <f aca="false">EXP(E288)/(1 + EXP(E288))^2</f>
        <v>0.25</v>
      </c>
      <c r="J288" s="39" t="n">
        <v>1</v>
      </c>
      <c r="K288" s="2" t="n">
        <f aca="false">D288</f>
        <v>5</v>
      </c>
      <c r="L288" s="39" t="n">
        <f aca="false">-1*$C$14*H288*I288*J288</f>
        <v>0</v>
      </c>
      <c r="M288" s="2" t="n">
        <f aca="false">-1*$C$14*H288*I288*K288</f>
        <v>0</v>
      </c>
    </row>
    <row r="289" customFormat="false" ht="15" hidden="false" customHeight="false" outlineLevel="0" collapsed="false">
      <c r="A289" s="3"/>
      <c r="B289" s="3"/>
      <c r="C289" s="3"/>
      <c r="D289" s="4" t="n">
        <v>10</v>
      </c>
      <c r="E289" s="2" t="n">
        <f aca="false">$A$288+$B$288*D289</f>
        <v>0</v>
      </c>
      <c r="F289" s="2" t="n">
        <f aca="false">E289</f>
        <v>0</v>
      </c>
      <c r="G289" s="37" t="n">
        <f aca="false">($C$4-E289)^2</f>
        <v>11.4244</v>
      </c>
      <c r="H289" s="38" t="n">
        <f aca="false">2*(E289-$C$4)</f>
        <v>-6.76</v>
      </c>
      <c r="I289" s="2" t="n">
        <f aca="false">EXP(E289)/(1 + EXP(E289))^2</f>
        <v>0.25</v>
      </c>
      <c r="J289" s="39" t="n">
        <v>1</v>
      </c>
      <c r="K289" s="2" t="n">
        <f aca="false">D289</f>
        <v>10</v>
      </c>
      <c r="L289" s="39" t="n">
        <f aca="false">-1*$C$14*H289*I289*J289</f>
        <v>0</v>
      </c>
      <c r="M289" s="2" t="n">
        <f aca="false">-1*$C$14*H289*I289*K289</f>
        <v>0</v>
      </c>
    </row>
    <row r="290" customFormat="false" ht="15" hidden="false" customHeight="false" outlineLevel="0" collapsed="false">
      <c r="A290" s="3"/>
      <c r="B290" s="3"/>
      <c r="C290" s="3"/>
      <c r="D290" s="4" t="n">
        <v>15</v>
      </c>
      <c r="E290" s="2" t="n">
        <f aca="false">$A$288+$B$288*D290</f>
        <v>0</v>
      </c>
      <c r="F290" s="2" t="n">
        <f aca="false">E290</f>
        <v>0</v>
      </c>
      <c r="G290" s="37" t="n">
        <f aca="false">($C$5-E290)^2</f>
        <v>14.8996</v>
      </c>
      <c r="H290" s="38" t="n">
        <f aca="false">2*(E290-$C$5)</f>
        <v>-7.72</v>
      </c>
      <c r="I290" s="2" t="n">
        <f aca="false">EXP(E290)/(1 + EXP(E290))^2</f>
        <v>0.25</v>
      </c>
      <c r="J290" s="39" t="n">
        <v>1</v>
      </c>
      <c r="K290" s="2" t="n">
        <f aca="false">D290</f>
        <v>15</v>
      </c>
      <c r="L290" s="39" t="n">
        <f aca="false">-1*$C$14*H290*I290*J290</f>
        <v>0</v>
      </c>
      <c r="M290" s="2" t="n">
        <f aca="false">-1*$C$14*H290*I290*K290</f>
        <v>0</v>
      </c>
    </row>
    <row r="291" customFormat="false" ht="15" hidden="false" customHeight="false" outlineLevel="0" collapsed="false">
      <c r="A291" s="3"/>
      <c r="B291" s="3"/>
      <c r="C291" s="3"/>
      <c r="D291" s="4" t="n">
        <v>20</v>
      </c>
      <c r="E291" s="2" t="n">
        <f aca="false">$A$288+$B$288*D291</f>
        <v>0</v>
      </c>
      <c r="F291" s="2" t="n">
        <f aca="false">E291</f>
        <v>0</v>
      </c>
      <c r="G291" s="37" t="n">
        <f aca="false">($C$6-E291)^2</f>
        <v>20.9764</v>
      </c>
      <c r="H291" s="38" t="n">
        <f aca="false">2*(E291-$C$6)</f>
        <v>-9.16</v>
      </c>
      <c r="I291" s="2" t="n">
        <f aca="false">EXP(E291)/(1 + EXP(E291))^2</f>
        <v>0.25</v>
      </c>
      <c r="J291" s="39" t="n">
        <v>1</v>
      </c>
      <c r="K291" s="2" t="n">
        <f aca="false">D291</f>
        <v>20</v>
      </c>
      <c r="L291" s="39" t="n">
        <f aca="false">-1*$C$14*H291*I291*J291</f>
        <v>0</v>
      </c>
      <c r="M291" s="2" t="n">
        <f aca="false">-1*$C$14*H291*I291*K291</f>
        <v>0</v>
      </c>
    </row>
    <row r="292" customFormat="false" ht="15" hidden="false" customHeight="false" outlineLevel="0" collapsed="false">
      <c r="A292" s="3"/>
      <c r="B292" s="3"/>
      <c r="C292" s="3"/>
      <c r="D292" s="4" t="n">
        <v>25</v>
      </c>
      <c r="E292" s="2" t="n">
        <f aca="false">$A$288+$B$288*D292</f>
        <v>0</v>
      </c>
      <c r="F292" s="2" t="n">
        <f aca="false">E292</f>
        <v>0</v>
      </c>
      <c r="G292" s="37" t="n">
        <f aca="false">($C$7-E292)^2</f>
        <v>75.4002777777778</v>
      </c>
      <c r="H292" s="38" t="n">
        <f aca="false">2*(E292-$C$7)</f>
        <v>-17.3666666666667</v>
      </c>
      <c r="I292" s="2" t="n">
        <f aca="false">EXP(E292)/(1 + EXP(E292))^2</f>
        <v>0.25</v>
      </c>
      <c r="J292" s="39" t="n">
        <v>1</v>
      </c>
      <c r="K292" s="2" t="n">
        <f aca="false">D292</f>
        <v>25</v>
      </c>
      <c r="L292" s="39" t="n">
        <f aca="false">-1*$C$14*H292*I292*J292</f>
        <v>0</v>
      </c>
      <c r="M292" s="2" t="n">
        <f aca="false">-1*$C$14*H292*I292*K292</f>
        <v>0</v>
      </c>
    </row>
    <row r="293" customFormat="false" ht="15" hidden="false" customHeight="false" outlineLevel="0" collapsed="false">
      <c r="A293" s="3"/>
      <c r="B293" s="3"/>
      <c r="C293" s="3"/>
      <c r="D293" s="4" t="n">
        <v>30</v>
      </c>
      <c r="E293" s="2" t="n">
        <f aca="false">$A$288+$B$288*D293</f>
        <v>0</v>
      </c>
      <c r="F293" s="2" t="n">
        <f aca="false">E293</f>
        <v>0</v>
      </c>
      <c r="G293" s="37" t="n">
        <f aca="false">($C$8-E293)^2</f>
        <v>80.2816</v>
      </c>
      <c r="H293" s="38" t="n">
        <f aca="false">2*(E293-$C$8)</f>
        <v>-17.92</v>
      </c>
      <c r="I293" s="2" t="n">
        <f aca="false">EXP(E293)/(1 + EXP(E293))^2</f>
        <v>0.25</v>
      </c>
      <c r="J293" s="39" t="n">
        <v>1</v>
      </c>
      <c r="K293" s="2" t="n">
        <f aca="false">D293</f>
        <v>30</v>
      </c>
      <c r="L293" s="39" t="n">
        <f aca="false">-1*$C$14*H293*I293*J293</f>
        <v>0</v>
      </c>
      <c r="M293" s="2" t="n">
        <f aca="false">-1*$C$14*H293*I293*K293</f>
        <v>0</v>
      </c>
    </row>
    <row r="294" customFormat="false" ht="15" hidden="false" customHeight="false" outlineLevel="0" collapsed="false">
      <c r="A294" s="3"/>
      <c r="B294" s="3"/>
      <c r="C294" s="3"/>
      <c r="D294" s="4" t="n">
        <v>35</v>
      </c>
      <c r="E294" s="2" t="n">
        <f aca="false">$A$288+$B$288*D294</f>
        <v>0</v>
      </c>
      <c r="F294" s="2" t="n">
        <f aca="false">E294</f>
        <v>0</v>
      </c>
      <c r="G294" s="37" t="n">
        <f aca="false">($C$9-E294)^2</f>
        <v>101.136544444444</v>
      </c>
      <c r="H294" s="38" t="n">
        <f aca="false">2*(E294-$C$9)</f>
        <v>-20.1133333333333</v>
      </c>
      <c r="I294" s="2" t="n">
        <f aca="false">EXP(E294)/(1 + EXP(E294))^2</f>
        <v>0.25</v>
      </c>
      <c r="J294" s="39" t="n">
        <v>1</v>
      </c>
      <c r="K294" s="2" t="n">
        <f aca="false">D294</f>
        <v>35</v>
      </c>
      <c r="L294" s="39" t="n">
        <f aca="false">-1*$C$14*H294*I294*J294</f>
        <v>0</v>
      </c>
      <c r="M294" s="2" t="n">
        <f aca="false">-1*$C$14*H294*I294*K294</f>
        <v>0</v>
      </c>
    </row>
    <row r="295" customFormat="false" ht="15" hidden="false" customHeight="false" outlineLevel="0" collapsed="false">
      <c r="A295" s="3"/>
      <c r="B295" s="3"/>
      <c r="C295" s="3"/>
      <c r="D295" s="4" t="n">
        <v>40</v>
      </c>
      <c r="E295" s="2" t="n">
        <f aca="false">$A$288+$B$288*D295</f>
        <v>0</v>
      </c>
      <c r="F295" s="2" t="n">
        <f aca="false">E295</f>
        <v>0</v>
      </c>
      <c r="G295" s="37" t="n">
        <f aca="false">($C$10-E295)^2</f>
        <v>168.826711111111</v>
      </c>
      <c r="H295" s="38" t="n">
        <f aca="false">2*(E295-$C$10)</f>
        <v>-25.9866666666667</v>
      </c>
      <c r="I295" s="2" t="n">
        <f aca="false">EXP(E295)/(1 + EXP(E295))^2</f>
        <v>0.25</v>
      </c>
      <c r="J295" s="39" t="n">
        <v>1</v>
      </c>
      <c r="K295" s="2" t="n">
        <f aca="false">D295</f>
        <v>40</v>
      </c>
      <c r="L295" s="39" t="n">
        <f aca="false">-1*$C$14*H295*I295*J295</f>
        <v>0</v>
      </c>
      <c r="M295" s="2" t="n">
        <f aca="false">-1*$C$14*H295*I295*K295</f>
        <v>0</v>
      </c>
    </row>
    <row r="296" customFormat="false" ht="15" hidden="false" customHeight="false" outlineLevel="0" collapsed="false">
      <c r="A296" s="3"/>
      <c r="B296" s="3"/>
      <c r="C296" s="3"/>
      <c r="D296" s="4" t="n">
        <v>45</v>
      </c>
      <c r="E296" s="2" t="n">
        <f aca="false">$A$288+$B$288*D296</f>
        <v>0</v>
      </c>
      <c r="F296" s="2" t="n">
        <f aca="false">E296</f>
        <v>0</v>
      </c>
      <c r="G296" s="37" t="n">
        <f aca="false">($C$11-E296)^2</f>
        <v>208.2249</v>
      </c>
      <c r="H296" s="38" t="n">
        <f aca="false">2*(E296-$C$11)</f>
        <v>-28.86</v>
      </c>
      <c r="I296" s="2" t="n">
        <f aca="false">EXP(E296)/(1 + EXP(E296))^2</f>
        <v>0.25</v>
      </c>
      <c r="J296" s="39" t="n">
        <v>1</v>
      </c>
      <c r="K296" s="2" t="n">
        <f aca="false">D296</f>
        <v>45</v>
      </c>
      <c r="L296" s="39" t="n">
        <f aca="false">-1*$C$14*H296*I296*J296</f>
        <v>0</v>
      </c>
      <c r="M296" s="2" t="n">
        <f aca="false">-1*$C$14*H296*I296*K296</f>
        <v>0</v>
      </c>
    </row>
    <row r="297" customFormat="false" ht="15" hidden="false" customHeight="false" outlineLevel="0" collapsed="false">
      <c r="A297" s="40"/>
      <c r="B297" s="40"/>
      <c r="C297" s="1"/>
      <c r="D297" s="4" t="n">
        <v>50</v>
      </c>
      <c r="E297" s="2" t="n">
        <f aca="false">$A$288+$B$288*D297</f>
        <v>0</v>
      </c>
      <c r="F297" s="2" t="n">
        <f aca="false">E297</f>
        <v>0</v>
      </c>
      <c r="G297" s="37" t="n">
        <f aca="false">($C$12-E297)^2</f>
        <v>206.401111111111</v>
      </c>
      <c r="H297" s="38" t="n">
        <f aca="false">2*(E297-$C$12)</f>
        <v>-28.7333333333333</v>
      </c>
      <c r="I297" s="2" t="n">
        <f aca="false">EXP(E297)/(1 + EXP(E297))^2</f>
        <v>0.25</v>
      </c>
      <c r="J297" s="39" t="n">
        <v>1</v>
      </c>
      <c r="K297" s="2" t="n">
        <f aca="false">D297</f>
        <v>50</v>
      </c>
      <c r="L297" s="39" t="n">
        <f aca="false">-1*$C$14*H297*I297*J297</f>
        <v>0</v>
      </c>
      <c r="M297" s="2" t="n">
        <f aca="false">-1*$C$14*H297*I297*K297</f>
        <v>0</v>
      </c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41" t="n">
        <f aca="false">SUM(G288:G297)</f>
        <v>892.151144444445</v>
      </c>
      <c r="H298" s="30"/>
      <c r="I298" s="1"/>
      <c r="J298" s="1"/>
      <c r="K298" s="1"/>
      <c r="L298" s="42" t="n">
        <f aca="false">AVERAGE(L288:L297)</f>
        <v>0</v>
      </c>
      <c r="M298" s="42" t="n">
        <f aca="false">AVERAGE(M288:M297)</f>
        <v>0</v>
      </c>
    </row>
    <row r="300" customFormat="false" ht="15" hidden="false" customHeight="false" outlineLevel="0" collapsed="false">
      <c r="A300" s="43" t="s">
        <v>43</v>
      </c>
    </row>
    <row r="301" customFormat="false" ht="15" hidden="false" customHeight="false" outlineLevel="0" collapsed="false">
      <c r="A301" s="3" t="s">
        <v>8</v>
      </c>
      <c r="B301" s="28" t="s">
        <v>9</v>
      </c>
      <c r="C301" s="1"/>
      <c r="D301" s="3" t="s">
        <v>10</v>
      </c>
      <c r="E301" s="29" t="s">
        <v>11</v>
      </c>
      <c r="F301" s="3" t="s">
        <v>12</v>
      </c>
      <c r="G301" s="3" t="s">
        <v>13</v>
      </c>
      <c r="H301" s="30"/>
      <c r="I301" s="1"/>
      <c r="J301" s="31" t="s">
        <v>14</v>
      </c>
      <c r="K301" s="31"/>
      <c r="L301" s="32" t="s">
        <v>15</v>
      </c>
      <c r="M301" s="32"/>
    </row>
    <row r="302" customFormat="false" ht="15" hidden="false" customHeight="false" outlineLevel="0" collapsed="false">
      <c r="A302" s="33" t="s">
        <v>16</v>
      </c>
      <c r="B302" s="33" t="s">
        <v>17</v>
      </c>
      <c r="C302" s="33"/>
      <c r="D302" s="33" t="s">
        <v>18</v>
      </c>
      <c r="E302" s="33" t="s">
        <v>19</v>
      </c>
      <c r="F302" s="33" t="s">
        <v>20</v>
      </c>
      <c r="G302" s="33" t="s">
        <v>21</v>
      </c>
      <c r="H302" s="34" t="s">
        <v>22</v>
      </c>
      <c r="I302" s="35" t="s">
        <v>23</v>
      </c>
      <c r="J302" s="34" t="s">
        <v>24</v>
      </c>
      <c r="K302" s="35" t="s">
        <v>25</v>
      </c>
      <c r="L302" s="36" t="s">
        <v>24</v>
      </c>
      <c r="M302" s="35" t="s">
        <v>25</v>
      </c>
    </row>
    <row r="303" customFormat="false" ht="15" hidden="false" customHeight="false" outlineLevel="0" collapsed="false">
      <c r="A303" s="3" t="n">
        <f aca="false">A288+L298</f>
        <v>0</v>
      </c>
      <c r="B303" s="3" t="n">
        <f aca="false">B288+M298</f>
        <v>0</v>
      </c>
      <c r="C303" s="3"/>
      <c r="D303" s="4" t="n">
        <v>5</v>
      </c>
      <c r="E303" s="2" t="n">
        <f aca="false">$A$303+$B$303*D303</f>
        <v>0</v>
      </c>
      <c r="F303" s="2" t="n">
        <f aca="false">E303</f>
        <v>0</v>
      </c>
      <c r="G303" s="37" t="n">
        <f aca="false">($C$3-E303)^2</f>
        <v>4.5796</v>
      </c>
      <c r="H303" s="38" t="n">
        <f aca="false">2*(E303-$C$3)</f>
        <v>-4.28</v>
      </c>
      <c r="I303" s="2" t="n">
        <f aca="false">EXP(E303)/(1 + EXP(E303))^2</f>
        <v>0.25</v>
      </c>
      <c r="J303" s="39" t="n">
        <v>1</v>
      </c>
      <c r="K303" s="2" t="n">
        <f aca="false">D303</f>
        <v>5</v>
      </c>
      <c r="L303" s="39" t="n">
        <f aca="false">-1*$C$14*H303*I303*J303</f>
        <v>0</v>
      </c>
      <c r="M303" s="2" t="n">
        <f aca="false">-1*$C$14*H303*I303*K303</f>
        <v>0</v>
      </c>
    </row>
    <row r="304" customFormat="false" ht="15" hidden="false" customHeight="false" outlineLevel="0" collapsed="false">
      <c r="A304" s="3"/>
      <c r="B304" s="3"/>
      <c r="C304" s="3"/>
      <c r="D304" s="4" t="n">
        <v>10</v>
      </c>
      <c r="E304" s="2" t="n">
        <f aca="false">$A$303+$B$303*D304</f>
        <v>0</v>
      </c>
      <c r="F304" s="2" t="n">
        <f aca="false">E304</f>
        <v>0</v>
      </c>
      <c r="G304" s="37" t="n">
        <f aca="false">($C$4-E304)^2</f>
        <v>11.4244</v>
      </c>
      <c r="H304" s="38" t="n">
        <f aca="false">2*(E304-$C$4)</f>
        <v>-6.76</v>
      </c>
      <c r="I304" s="2" t="n">
        <f aca="false">EXP(E304)/(1 + EXP(E304))^2</f>
        <v>0.25</v>
      </c>
      <c r="J304" s="39" t="n">
        <v>1</v>
      </c>
      <c r="K304" s="2" t="n">
        <f aca="false">D304</f>
        <v>10</v>
      </c>
      <c r="L304" s="39" t="n">
        <f aca="false">-1*$C$14*H304*I304*J304</f>
        <v>0</v>
      </c>
      <c r="M304" s="2" t="n">
        <f aca="false">-1*$C$14*H304*I304*K304</f>
        <v>0</v>
      </c>
    </row>
    <row r="305" customFormat="false" ht="15" hidden="false" customHeight="false" outlineLevel="0" collapsed="false">
      <c r="A305" s="3"/>
      <c r="B305" s="3"/>
      <c r="C305" s="3"/>
      <c r="D305" s="4" t="n">
        <v>15</v>
      </c>
      <c r="E305" s="2" t="n">
        <f aca="false">$A$303+$B$303*D305</f>
        <v>0</v>
      </c>
      <c r="F305" s="2" t="n">
        <f aca="false">E305</f>
        <v>0</v>
      </c>
      <c r="G305" s="37" t="n">
        <f aca="false">($C$5-E305)^2</f>
        <v>14.8996</v>
      </c>
      <c r="H305" s="38" t="n">
        <f aca="false">2*(E305-$C$5)</f>
        <v>-7.72</v>
      </c>
      <c r="I305" s="2" t="n">
        <f aca="false">EXP(E305)/(1 + EXP(E305))^2</f>
        <v>0.25</v>
      </c>
      <c r="J305" s="39" t="n">
        <v>1</v>
      </c>
      <c r="K305" s="2" t="n">
        <f aca="false">D305</f>
        <v>15</v>
      </c>
      <c r="L305" s="39" t="n">
        <f aca="false">-1*$C$14*H305*I305*J305</f>
        <v>0</v>
      </c>
      <c r="M305" s="2" t="n">
        <f aca="false">-1*$C$14*H305*I305*K305</f>
        <v>0</v>
      </c>
    </row>
    <row r="306" customFormat="false" ht="15" hidden="false" customHeight="false" outlineLevel="0" collapsed="false">
      <c r="A306" s="3"/>
      <c r="B306" s="3"/>
      <c r="C306" s="3"/>
      <c r="D306" s="4" t="n">
        <v>20</v>
      </c>
      <c r="E306" s="2" t="n">
        <f aca="false">$A$303+$B$303*D306</f>
        <v>0</v>
      </c>
      <c r="F306" s="2" t="n">
        <f aca="false">E306</f>
        <v>0</v>
      </c>
      <c r="G306" s="37" t="n">
        <f aca="false">($C$6-E306)^2</f>
        <v>20.9764</v>
      </c>
      <c r="H306" s="38" t="n">
        <f aca="false">2*(E306-$C$6)</f>
        <v>-9.16</v>
      </c>
      <c r="I306" s="2" t="n">
        <f aca="false">EXP(E306)/(1 + EXP(E306))^2</f>
        <v>0.25</v>
      </c>
      <c r="J306" s="39" t="n">
        <v>1</v>
      </c>
      <c r="K306" s="2" t="n">
        <f aca="false">D306</f>
        <v>20</v>
      </c>
      <c r="L306" s="39" t="n">
        <f aca="false">-1*$C$14*H306*I306*J306</f>
        <v>0</v>
      </c>
      <c r="M306" s="2" t="n">
        <f aca="false">-1*$C$14*H306*I306*K306</f>
        <v>0</v>
      </c>
    </row>
    <row r="307" customFormat="false" ht="15" hidden="false" customHeight="false" outlineLevel="0" collapsed="false">
      <c r="A307" s="3"/>
      <c r="B307" s="3"/>
      <c r="C307" s="3"/>
      <c r="D307" s="4" t="n">
        <v>25</v>
      </c>
      <c r="E307" s="2" t="n">
        <f aca="false">$A$303+$B$303*D307</f>
        <v>0</v>
      </c>
      <c r="F307" s="2" t="n">
        <f aca="false">E307</f>
        <v>0</v>
      </c>
      <c r="G307" s="37" t="n">
        <f aca="false">($C$7-E307)^2</f>
        <v>75.4002777777778</v>
      </c>
      <c r="H307" s="38" t="n">
        <f aca="false">2*(E307-$C$7)</f>
        <v>-17.3666666666667</v>
      </c>
      <c r="I307" s="2" t="n">
        <f aca="false">EXP(E307)/(1 + EXP(E307))^2</f>
        <v>0.25</v>
      </c>
      <c r="J307" s="39" t="n">
        <v>1</v>
      </c>
      <c r="K307" s="2" t="n">
        <f aca="false">D307</f>
        <v>25</v>
      </c>
      <c r="L307" s="39" t="n">
        <f aca="false">-1*$C$14*H307*I307*J307</f>
        <v>0</v>
      </c>
      <c r="M307" s="2" t="n">
        <f aca="false">-1*$C$14*H307*I307*K307</f>
        <v>0</v>
      </c>
    </row>
    <row r="308" customFormat="false" ht="15" hidden="false" customHeight="false" outlineLevel="0" collapsed="false">
      <c r="A308" s="3"/>
      <c r="B308" s="3"/>
      <c r="C308" s="3"/>
      <c r="D308" s="4" t="n">
        <v>30</v>
      </c>
      <c r="E308" s="2" t="n">
        <f aca="false">$A$303+$B$303*D308</f>
        <v>0</v>
      </c>
      <c r="F308" s="2" t="n">
        <f aca="false">E308</f>
        <v>0</v>
      </c>
      <c r="G308" s="37" t="n">
        <f aca="false">($C$8-E308)^2</f>
        <v>80.2816</v>
      </c>
      <c r="H308" s="38" t="n">
        <f aca="false">2*(E308-$C$8)</f>
        <v>-17.92</v>
      </c>
      <c r="I308" s="2" t="n">
        <f aca="false">EXP(E308)/(1 + EXP(E308))^2</f>
        <v>0.25</v>
      </c>
      <c r="J308" s="39" t="n">
        <v>1</v>
      </c>
      <c r="K308" s="2" t="n">
        <f aca="false">D308</f>
        <v>30</v>
      </c>
      <c r="L308" s="39" t="n">
        <f aca="false">-1*$C$14*H308*I308*J308</f>
        <v>0</v>
      </c>
      <c r="M308" s="2" t="n">
        <f aca="false">-1*$C$14*H308*I308*K308</f>
        <v>0</v>
      </c>
    </row>
    <row r="309" customFormat="false" ht="15" hidden="false" customHeight="false" outlineLevel="0" collapsed="false">
      <c r="A309" s="3"/>
      <c r="B309" s="3"/>
      <c r="C309" s="3"/>
      <c r="D309" s="4" t="n">
        <v>35</v>
      </c>
      <c r="E309" s="2" t="n">
        <f aca="false">$A$303+$B$303*D309</f>
        <v>0</v>
      </c>
      <c r="F309" s="2" t="n">
        <f aca="false">E309</f>
        <v>0</v>
      </c>
      <c r="G309" s="37" t="n">
        <f aca="false">($C$9-E309)^2</f>
        <v>101.136544444444</v>
      </c>
      <c r="H309" s="38" t="n">
        <f aca="false">2*(E309-$C$9)</f>
        <v>-20.1133333333333</v>
      </c>
      <c r="I309" s="2" t="n">
        <f aca="false">EXP(E309)/(1 + EXP(E309))^2</f>
        <v>0.25</v>
      </c>
      <c r="J309" s="39" t="n">
        <v>1</v>
      </c>
      <c r="K309" s="2" t="n">
        <f aca="false">D309</f>
        <v>35</v>
      </c>
      <c r="L309" s="39" t="n">
        <f aca="false">-1*$C$14*H309*I309*J309</f>
        <v>0</v>
      </c>
      <c r="M309" s="2" t="n">
        <f aca="false">-1*$C$14*H309*I309*K309</f>
        <v>0</v>
      </c>
    </row>
    <row r="310" customFormat="false" ht="15" hidden="false" customHeight="false" outlineLevel="0" collapsed="false">
      <c r="A310" s="3"/>
      <c r="B310" s="3"/>
      <c r="C310" s="3"/>
      <c r="D310" s="4" t="n">
        <v>40</v>
      </c>
      <c r="E310" s="2" t="n">
        <f aca="false">$A$303+$B$303*D310</f>
        <v>0</v>
      </c>
      <c r="F310" s="2" t="n">
        <f aca="false">E310</f>
        <v>0</v>
      </c>
      <c r="G310" s="37" t="n">
        <f aca="false">($C$10-E310)^2</f>
        <v>168.826711111111</v>
      </c>
      <c r="H310" s="38" t="n">
        <f aca="false">2*(E310-$C$10)</f>
        <v>-25.9866666666667</v>
      </c>
      <c r="I310" s="2" t="n">
        <f aca="false">EXP(E310)/(1 + EXP(E310))^2</f>
        <v>0.25</v>
      </c>
      <c r="J310" s="39" t="n">
        <v>1</v>
      </c>
      <c r="K310" s="2" t="n">
        <f aca="false">D310</f>
        <v>40</v>
      </c>
      <c r="L310" s="39" t="n">
        <f aca="false">-1*$C$14*H310*I310*J310</f>
        <v>0</v>
      </c>
      <c r="M310" s="2" t="n">
        <f aca="false">-1*$C$14*H310*I310*K310</f>
        <v>0</v>
      </c>
    </row>
    <row r="311" customFormat="false" ht="15" hidden="false" customHeight="false" outlineLevel="0" collapsed="false">
      <c r="A311" s="3"/>
      <c r="B311" s="3"/>
      <c r="C311" s="3"/>
      <c r="D311" s="4" t="n">
        <v>45</v>
      </c>
      <c r="E311" s="2" t="n">
        <f aca="false">$A$303+$B$303*D311</f>
        <v>0</v>
      </c>
      <c r="F311" s="2" t="n">
        <f aca="false">E311</f>
        <v>0</v>
      </c>
      <c r="G311" s="37" t="n">
        <f aca="false">($C$11-E311)^2</f>
        <v>208.2249</v>
      </c>
      <c r="H311" s="38" t="n">
        <f aca="false">2*(E311-$C$11)</f>
        <v>-28.86</v>
      </c>
      <c r="I311" s="2" t="n">
        <f aca="false">EXP(E311)/(1 + EXP(E311))^2</f>
        <v>0.25</v>
      </c>
      <c r="J311" s="39" t="n">
        <v>1</v>
      </c>
      <c r="K311" s="2" t="n">
        <f aca="false">D311</f>
        <v>45</v>
      </c>
      <c r="L311" s="39" t="n">
        <f aca="false">-1*$C$14*H311*I311*J311</f>
        <v>0</v>
      </c>
      <c r="M311" s="2" t="n">
        <f aca="false">-1*$C$14*H311*I311*K311</f>
        <v>0</v>
      </c>
    </row>
    <row r="312" customFormat="false" ht="15" hidden="false" customHeight="false" outlineLevel="0" collapsed="false">
      <c r="A312" s="40"/>
      <c r="B312" s="40"/>
      <c r="C312" s="1"/>
      <c r="D312" s="4" t="n">
        <v>50</v>
      </c>
      <c r="E312" s="2" t="n">
        <f aca="false">$A$303+$B$303*D312</f>
        <v>0</v>
      </c>
      <c r="F312" s="2" t="n">
        <f aca="false">E312</f>
        <v>0</v>
      </c>
      <c r="G312" s="37" t="n">
        <f aca="false">($C$12-E312)^2</f>
        <v>206.401111111111</v>
      </c>
      <c r="H312" s="38" t="n">
        <f aca="false">2*(E312-$C$12)</f>
        <v>-28.7333333333333</v>
      </c>
      <c r="I312" s="2" t="n">
        <f aca="false">EXP(E312)/(1 + EXP(E312))^2</f>
        <v>0.25</v>
      </c>
      <c r="J312" s="39" t="n">
        <v>1</v>
      </c>
      <c r="K312" s="2" t="n">
        <f aca="false">D312</f>
        <v>50</v>
      </c>
      <c r="L312" s="39" t="n">
        <f aca="false">-1*$C$14*H312*I312*J312</f>
        <v>0</v>
      </c>
      <c r="M312" s="2" t="n">
        <f aca="false">-1*$C$14*H312*I312*K312</f>
        <v>0</v>
      </c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41" t="n">
        <f aca="false">SUM(G303:G312)</f>
        <v>892.151144444445</v>
      </c>
      <c r="H313" s="30"/>
      <c r="I313" s="1"/>
      <c r="J313" s="1"/>
      <c r="K313" s="1"/>
      <c r="L313" s="42" t="n">
        <f aca="false">AVERAGE(L303:L312)</f>
        <v>0</v>
      </c>
      <c r="M313" s="42" t="n">
        <f aca="false">AVERAGE(M303:M312)</f>
        <v>0</v>
      </c>
    </row>
    <row r="315" customFormat="false" ht="15" hidden="false" customHeight="false" outlineLevel="0" collapsed="false">
      <c r="A315" s="43" t="s">
        <v>44</v>
      </c>
    </row>
    <row r="316" customFormat="false" ht="15" hidden="false" customHeight="false" outlineLevel="0" collapsed="false">
      <c r="A316" s="3" t="s">
        <v>8</v>
      </c>
      <c r="B316" s="28" t="s">
        <v>9</v>
      </c>
      <c r="C316" s="1"/>
      <c r="D316" s="3" t="s">
        <v>10</v>
      </c>
      <c r="E316" s="29" t="s">
        <v>11</v>
      </c>
      <c r="F316" s="3" t="s">
        <v>12</v>
      </c>
      <c r="G316" s="3" t="s">
        <v>13</v>
      </c>
      <c r="H316" s="30"/>
      <c r="I316" s="1"/>
      <c r="J316" s="31" t="s">
        <v>14</v>
      </c>
      <c r="K316" s="31"/>
      <c r="L316" s="32" t="s">
        <v>15</v>
      </c>
      <c r="M316" s="32"/>
    </row>
    <row r="317" customFormat="false" ht="15" hidden="false" customHeight="false" outlineLevel="0" collapsed="false">
      <c r="A317" s="33" t="s">
        <v>16</v>
      </c>
      <c r="B317" s="33" t="s">
        <v>17</v>
      </c>
      <c r="C317" s="33"/>
      <c r="D317" s="33" t="s">
        <v>18</v>
      </c>
      <c r="E317" s="33" t="s">
        <v>19</v>
      </c>
      <c r="F317" s="33" t="s">
        <v>20</v>
      </c>
      <c r="G317" s="33" t="s">
        <v>21</v>
      </c>
      <c r="H317" s="34" t="s">
        <v>22</v>
      </c>
      <c r="I317" s="35" t="s">
        <v>23</v>
      </c>
      <c r="J317" s="34" t="s">
        <v>24</v>
      </c>
      <c r="K317" s="35" t="s">
        <v>25</v>
      </c>
      <c r="L317" s="36" t="s">
        <v>24</v>
      </c>
      <c r="M317" s="35" t="s">
        <v>25</v>
      </c>
    </row>
    <row r="318" customFormat="false" ht="15" hidden="false" customHeight="false" outlineLevel="0" collapsed="false">
      <c r="A318" s="3" t="n">
        <f aca="false">A303+L313</f>
        <v>0</v>
      </c>
      <c r="B318" s="3" t="n">
        <f aca="false">B303+M313</f>
        <v>0</v>
      </c>
      <c r="C318" s="3"/>
      <c r="D318" s="4" t="n">
        <v>5</v>
      </c>
      <c r="E318" s="2" t="n">
        <f aca="false">$A$318+$B$318*D318</f>
        <v>0</v>
      </c>
      <c r="F318" s="2" t="n">
        <f aca="false">E318</f>
        <v>0</v>
      </c>
      <c r="G318" s="37" t="n">
        <f aca="false">($C$3-E318)^2</f>
        <v>4.5796</v>
      </c>
      <c r="H318" s="38" t="n">
        <f aca="false">2*(E318-$C$3)</f>
        <v>-4.28</v>
      </c>
      <c r="I318" s="2" t="n">
        <f aca="false">EXP(E318)/(1 + EXP(E318))^2</f>
        <v>0.25</v>
      </c>
      <c r="J318" s="39" t="n">
        <v>1</v>
      </c>
      <c r="K318" s="2" t="n">
        <f aca="false">D318</f>
        <v>5</v>
      </c>
      <c r="L318" s="39" t="n">
        <f aca="false">-1*$C$14*H318*I318*J318</f>
        <v>0</v>
      </c>
      <c r="M318" s="2" t="n">
        <f aca="false">-1*$C$14*H318*I318*K318</f>
        <v>0</v>
      </c>
    </row>
    <row r="319" customFormat="false" ht="15" hidden="false" customHeight="false" outlineLevel="0" collapsed="false">
      <c r="A319" s="3"/>
      <c r="B319" s="3"/>
      <c r="C319" s="3"/>
      <c r="D319" s="4" t="n">
        <v>10</v>
      </c>
      <c r="E319" s="2" t="n">
        <f aca="false">$A$318+$B$318*D319</f>
        <v>0</v>
      </c>
      <c r="F319" s="2" t="n">
        <f aca="false">E319</f>
        <v>0</v>
      </c>
      <c r="G319" s="37" t="n">
        <f aca="false">($C$4-E319)^2</f>
        <v>11.4244</v>
      </c>
      <c r="H319" s="38" t="n">
        <f aca="false">2*(E319-$C$4)</f>
        <v>-6.76</v>
      </c>
      <c r="I319" s="2" t="n">
        <f aca="false">EXP(E319)/(1 + EXP(E319))^2</f>
        <v>0.25</v>
      </c>
      <c r="J319" s="39" t="n">
        <v>1</v>
      </c>
      <c r="K319" s="2" t="n">
        <f aca="false">D319</f>
        <v>10</v>
      </c>
      <c r="L319" s="39" t="n">
        <f aca="false">-1*$C$14*H319*I319*J319</f>
        <v>0</v>
      </c>
      <c r="M319" s="2" t="n">
        <f aca="false">-1*$C$14*H319*I319*K319</f>
        <v>0</v>
      </c>
    </row>
    <row r="320" customFormat="false" ht="15" hidden="false" customHeight="false" outlineLevel="0" collapsed="false">
      <c r="A320" s="3"/>
      <c r="B320" s="3"/>
      <c r="C320" s="3"/>
      <c r="D320" s="4" t="n">
        <v>15</v>
      </c>
      <c r="E320" s="2" t="n">
        <f aca="false">$A$318+$B$318*D320</f>
        <v>0</v>
      </c>
      <c r="F320" s="2" t="n">
        <f aca="false">E320</f>
        <v>0</v>
      </c>
      <c r="G320" s="37" t="n">
        <f aca="false">($C$5-E320)^2</f>
        <v>14.8996</v>
      </c>
      <c r="H320" s="38" t="n">
        <f aca="false">2*(E320-$C$5)</f>
        <v>-7.72</v>
      </c>
      <c r="I320" s="2" t="n">
        <f aca="false">EXP(E320)/(1 + EXP(E320))^2</f>
        <v>0.25</v>
      </c>
      <c r="J320" s="39" t="n">
        <v>1</v>
      </c>
      <c r="K320" s="2" t="n">
        <f aca="false">D320</f>
        <v>15</v>
      </c>
      <c r="L320" s="39" t="n">
        <f aca="false">-1*$C$14*H320*I320*J320</f>
        <v>0</v>
      </c>
      <c r="M320" s="2" t="n">
        <f aca="false">-1*$C$14*H320*I320*K320</f>
        <v>0</v>
      </c>
    </row>
    <row r="321" customFormat="false" ht="15" hidden="false" customHeight="false" outlineLevel="0" collapsed="false">
      <c r="A321" s="3"/>
      <c r="B321" s="3"/>
      <c r="C321" s="3"/>
      <c r="D321" s="4" t="n">
        <v>20</v>
      </c>
      <c r="E321" s="2" t="n">
        <f aca="false">$A$318+$B$318*D321</f>
        <v>0</v>
      </c>
      <c r="F321" s="2" t="n">
        <f aca="false">E321</f>
        <v>0</v>
      </c>
      <c r="G321" s="37" t="n">
        <f aca="false">($C$6-E321)^2</f>
        <v>20.9764</v>
      </c>
      <c r="H321" s="38" t="n">
        <f aca="false">2*(E321-$C$6)</f>
        <v>-9.16</v>
      </c>
      <c r="I321" s="2" t="n">
        <f aca="false">EXP(E321)/(1 + EXP(E321))^2</f>
        <v>0.25</v>
      </c>
      <c r="J321" s="39" t="n">
        <v>1</v>
      </c>
      <c r="K321" s="2" t="n">
        <f aca="false">D321</f>
        <v>20</v>
      </c>
      <c r="L321" s="39" t="n">
        <f aca="false">-1*$C$14*H321*I321*J321</f>
        <v>0</v>
      </c>
      <c r="M321" s="2" t="n">
        <f aca="false">-1*$C$14*H321*I321*K321</f>
        <v>0</v>
      </c>
    </row>
    <row r="322" customFormat="false" ht="15" hidden="false" customHeight="false" outlineLevel="0" collapsed="false">
      <c r="A322" s="3"/>
      <c r="B322" s="3"/>
      <c r="C322" s="3"/>
      <c r="D322" s="4" t="n">
        <v>25</v>
      </c>
      <c r="E322" s="2" t="n">
        <f aca="false">$A$318+$B$318*D322</f>
        <v>0</v>
      </c>
      <c r="F322" s="2" t="n">
        <f aca="false">E322</f>
        <v>0</v>
      </c>
      <c r="G322" s="37" t="n">
        <f aca="false">($C$7-E322)^2</f>
        <v>75.4002777777778</v>
      </c>
      <c r="H322" s="38" t="n">
        <f aca="false">2*(E322-$C$7)</f>
        <v>-17.3666666666667</v>
      </c>
      <c r="I322" s="2" t="n">
        <f aca="false">EXP(E322)/(1 + EXP(E322))^2</f>
        <v>0.25</v>
      </c>
      <c r="J322" s="39" t="n">
        <v>1</v>
      </c>
      <c r="K322" s="2" t="n">
        <f aca="false">D322</f>
        <v>25</v>
      </c>
      <c r="L322" s="39" t="n">
        <f aca="false">-1*$C$14*H322*I322*J322</f>
        <v>0</v>
      </c>
      <c r="M322" s="2" t="n">
        <f aca="false">-1*$C$14*H322*I322*K322</f>
        <v>0</v>
      </c>
    </row>
    <row r="323" customFormat="false" ht="15" hidden="false" customHeight="false" outlineLevel="0" collapsed="false">
      <c r="A323" s="3"/>
      <c r="B323" s="3"/>
      <c r="C323" s="3"/>
      <c r="D323" s="4" t="n">
        <v>30</v>
      </c>
      <c r="E323" s="2" t="n">
        <f aca="false">$A$318+$B$318*D323</f>
        <v>0</v>
      </c>
      <c r="F323" s="2" t="n">
        <f aca="false">E323</f>
        <v>0</v>
      </c>
      <c r="G323" s="37" t="n">
        <f aca="false">($C$8-E323)^2</f>
        <v>80.2816</v>
      </c>
      <c r="H323" s="38" t="n">
        <f aca="false">2*(E323-$C$8)</f>
        <v>-17.92</v>
      </c>
      <c r="I323" s="2" t="n">
        <f aca="false">EXP(E323)/(1 + EXP(E323))^2</f>
        <v>0.25</v>
      </c>
      <c r="J323" s="39" t="n">
        <v>1</v>
      </c>
      <c r="K323" s="2" t="n">
        <f aca="false">D323</f>
        <v>30</v>
      </c>
      <c r="L323" s="39" t="n">
        <f aca="false">-1*$C$14*H323*I323*J323</f>
        <v>0</v>
      </c>
      <c r="M323" s="2" t="n">
        <f aca="false">-1*$C$14*H323*I323*K323</f>
        <v>0</v>
      </c>
    </row>
    <row r="324" customFormat="false" ht="15" hidden="false" customHeight="false" outlineLevel="0" collapsed="false">
      <c r="A324" s="3"/>
      <c r="B324" s="3"/>
      <c r="C324" s="3"/>
      <c r="D324" s="4" t="n">
        <v>35</v>
      </c>
      <c r="E324" s="2" t="n">
        <f aca="false">$A$318+$B$318*D324</f>
        <v>0</v>
      </c>
      <c r="F324" s="2" t="n">
        <f aca="false">E324</f>
        <v>0</v>
      </c>
      <c r="G324" s="37" t="n">
        <f aca="false">($C$9-E324)^2</f>
        <v>101.136544444444</v>
      </c>
      <c r="H324" s="38" t="n">
        <f aca="false">2*(E324-$C$9)</f>
        <v>-20.1133333333333</v>
      </c>
      <c r="I324" s="2" t="n">
        <f aca="false">EXP(E324)/(1 + EXP(E324))^2</f>
        <v>0.25</v>
      </c>
      <c r="J324" s="39" t="n">
        <v>1</v>
      </c>
      <c r="K324" s="2" t="n">
        <f aca="false">D324</f>
        <v>35</v>
      </c>
      <c r="L324" s="39" t="n">
        <f aca="false">-1*$C$14*H324*I324*J324</f>
        <v>0</v>
      </c>
      <c r="M324" s="2" t="n">
        <f aca="false">-1*$C$14*H324*I324*K324</f>
        <v>0</v>
      </c>
    </row>
    <row r="325" customFormat="false" ht="15" hidden="false" customHeight="false" outlineLevel="0" collapsed="false">
      <c r="A325" s="3"/>
      <c r="B325" s="3"/>
      <c r="C325" s="3"/>
      <c r="D325" s="4" t="n">
        <v>40</v>
      </c>
      <c r="E325" s="2" t="n">
        <f aca="false">$A$318+$B$318*D325</f>
        <v>0</v>
      </c>
      <c r="F325" s="2" t="n">
        <f aca="false">E325</f>
        <v>0</v>
      </c>
      <c r="G325" s="37" t="n">
        <f aca="false">($C$10-E325)^2</f>
        <v>168.826711111111</v>
      </c>
      <c r="H325" s="38" t="n">
        <f aca="false">2*(E325-$C$10)</f>
        <v>-25.9866666666667</v>
      </c>
      <c r="I325" s="2" t="n">
        <f aca="false">EXP(E325)/(1 + EXP(E325))^2</f>
        <v>0.25</v>
      </c>
      <c r="J325" s="39" t="n">
        <v>1</v>
      </c>
      <c r="K325" s="2" t="n">
        <f aca="false">D325</f>
        <v>40</v>
      </c>
      <c r="L325" s="39" t="n">
        <f aca="false">-1*$C$14*H325*I325*J325</f>
        <v>0</v>
      </c>
      <c r="M325" s="2" t="n">
        <f aca="false">-1*$C$14*H325*I325*K325</f>
        <v>0</v>
      </c>
    </row>
    <row r="326" customFormat="false" ht="15" hidden="false" customHeight="false" outlineLevel="0" collapsed="false">
      <c r="A326" s="3"/>
      <c r="B326" s="3"/>
      <c r="C326" s="3"/>
      <c r="D326" s="4" t="n">
        <v>45</v>
      </c>
      <c r="E326" s="2" t="n">
        <f aca="false">$A$318+$B$318*D326</f>
        <v>0</v>
      </c>
      <c r="F326" s="2" t="n">
        <f aca="false">E326</f>
        <v>0</v>
      </c>
      <c r="G326" s="37" t="n">
        <f aca="false">($C$11-E326)^2</f>
        <v>208.2249</v>
      </c>
      <c r="H326" s="38" t="n">
        <f aca="false">2*(E326-$C$11)</f>
        <v>-28.86</v>
      </c>
      <c r="I326" s="2" t="n">
        <f aca="false">EXP(E326)/(1 + EXP(E326))^2</f>
        <v>0.25</v>
      </c>
      <c r="J326" s="39" t="n">
        <v>1</v>
      </c>
      <c r="K326" s="2" t="n">
        <f aca="false">D326</f>
        <v>45</v>
      </c>
      <c r="L326" s="39" t="n">
        <f aca="false">-1*$C$14*H326*I326*J326</f>
        <v>0</v>
      </c>
      <c r="M326" s="2" t="n">
        <f aca="false">-1*$C$14*H326*I326*K326</f>
        <v>0</v>
      </c>
    </row>
    <row r="327" customFormat="false" ht="15" hidden="false" customHeight="false" outlineLevel="0" collapsed="false">
      <c r="A327" s="40"/>
      <c r="B327" s="40"/>
      <c r="C327" s="1"/>
      <c r="D327" s="4" t="n">
        <v>50</v>
      </c>
      <c r="E327" s="2" t="n">
        <f aca="false">$A$318+$B$318*D327</f>
        <v>0</v>
      </c>
      <c r="F327" s="2" t="n">
        <f aca="false">E327</f>
        <v>0</v>
      </c>
      <c r="G327" s="37" t="n">
        <f aca="false">($C$12-E327)^2</f>
        <v>206.401111111111</v>
      </c>
      <c r="H327" s="38" t="n">
        <f aca="false">2*(E327-$C$12)</f>
        <v>-28.7333333333333</v>
      </c>
      <c r="I327" s="2" t="n">
        <f aca="false">EXP(E327)/(1 + EXP(E327))^2</f>
        <v>0.25</v>
      </c>
      <c r="J327" s="39" t="n">
        <v>1</v>
      </c>
      <c r="K327" s="2" t="n">
        <f aca="false">D327</f>
        <v>50</v>
      </c>
      <c r="L327" s="39" t="n">
        <f aca="false">-1*$C$14*H327*I327*J327</f>
        <v>0</v>
      </c>
      <c r="M327" s="2" t="n">
        <f aca="false">-1*$C$14*H327*I327*K327</f>
        <v>0</v>
      </c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41" t="n">
        <f aca="false">SUM(G318:G327)</f>
        <v>892.151144444445</v>
      </c>
      <c r="H328" s="30"/>
      <c r="I328" s="1"/>
      <c r="J328" s="1"/>
      <c r="K328" s="1"/>
      <c r="L328" s="42" t="n">
        <f aca="false">AVERAGE(L318:L327)</f>
        <v>0</v>
      </c>
      <c r="M328" s="42" t="n">
        <f aca="false">AVERAGE(M318:M327)</f>
        <v>0</v>
      </c>
    </row>
    <row r="330" customFormat="false" ht="15" hidden="false" customHeight="false" outlineLevel="0" collapsed="false">
      <c r="A330" s="43" t="s">
        <v>45</v>
      </c>
    </row>
    <row r="331" customFormat="false" ht="15" hidden="false" customHeight="false" outlineLevel="0" collapsed="false">
      <c r="A331" s="3" t="s">
        <v>8</v>
      </c>
      <c r="B331" s="28" t="s">
        <v>9</v>
      </c>
      <c r="C331" s="1"/>
      <c r="D331" s="3" t="s">
        <v>10</v>
      </c>
      <c r="E331" s="29" t="s">
        <v>11</v>
      </c>
      <c r="F331" s="3" t="s">
        <v>12</v>
      </c>
      <c r="G331" s="3" t="s">
        <v>13</v>
      </c>
      <c r="H331" s="30"/>
      <c r="I331" s="1"/>
      <c r="J331" s="31" t="s">
        <v>14</v>
      </c>
      <c r="K331" s="31"/>
      <c r="L331" s="32" t="s">
        <v>15</v>
      </c>
      <c r="M331" s="32"/>
    </row>
    <row r="332" customFormat="false" ht="15" hidden="false" customHeight="false" outlineLevel="0" collapsed="false">
      <c r="A332" s="33" t="s">
        <v>16</v>
      </c>
      <c r="B332" s="33" t="s">
        <v>17</v>
      </c>
      <c r="C332" s="33"/>
      <c r="D332" s="33" t="s">
        <v>18</v>
      </c>
      <c r="E332" s="33" t="s">
        <v>19</v>
      </c>
      <c r="F332" s="33" t="s">
        <v>20</v>
      </c>
      <c r="G332" s="33" t="s">
        <v>21</v>
      </c>
      <c r="H332" s="34" t="s">
        <v>22</v>
      </c>
      <c r="I332" s="35" t="s">
        <v>23</v>
      </c>
      <c r="J332" s="34" t="s">
        <v>24</v>
      </c>
      <c r="K332" s="35" t="s">
        <v>25</v>
      </c>
      <c r="L332" s="36" t="s">
        <v>24</v>
      </c>
      <c r="M332" s="35" t="s">
        <v>25</v>
      </c>
    </row>
    <row r="333" customFormat="false" ht="15" hidden="false" customHeight="false" outlineLevel="0" collapsed="false">
      <c r="A333" s="3" t="n">
        <f aca="false">A318+L328</f>
        <v>0</v>
      </c>
      <c r="B333" s="3" t="n">
        <f aca="false">B318+M328</f>
        <v>0</v>
      </c>
      <c r="C333" s="3"/>
      <c r="D333" s="4" t="n">
        <v>5</v>
      </c>
      <c r="E333" s="2" t="n">
        <f aca="false">$A$333+$B$333*D333</f>
        <v>0</v>
      </c>
      <c r="F333" s="2" t="n">
        <f aca="false">E333</f>
        <v>0</v>
      </c>
      <c r="G333" s="37" t="n">
        <f aca="false">($C$3-E333)^2</f>
        <v>4.5796</v>
      </c>
      <c r="H333" s="38" t="n">
        <f aca="false">2*(E333-$C$3)</f>
        <v>-4.28</v>
      </c>
      <c r="I333" s="2" t="n">
        <f aca="false">EXP(E333)/(1 + EXP(E333))^2</f>
        <v>0.25</v>
      </c>
      <c r="J333" s="39" t="n">
        <v>1</v>
      </c>
      <c r="K333" s="2" t="n">
        <f aca="false">D333</f>
        <v>5</v>
      </c>
      <c r="L333" s="39" t="n">
        <f aca="false">-1*$C$14*H333*I333*J333</f>
        <v>0</v>
      </c>
      <c r="M333" s="2" t="n">
        <f aca="false">-1*$C$14*H333*I333*K333</f>
        <v>0</v>
      </c>
    </row>
    <row r="334" customFormat="false" ht="15" hidden="false" customHeight="false" outlineLevel="0" collapsed="false">
      <c r="A334" s="3"/>
      <c r="B334" s="3"/>
      <c r="C334" s="3"/>
      <c r="D334" s="4" t="n">
        <v>10</v>
      </c>
      <c r="E334" s="2" t="n">
        <f aca="false">$A$333+$B$333*D334</f>
        <v>0</v>
      </c>
      <c r="F334" s="2" t="n">
        <f aca="false">E334</f>
        <v>0</v>
      </c>
      <c r="G334" s="37" t="n">
        <f aca="false">($C$4-E334)^2</f>
        <v>11.4244</v>
      </c>
      <c r="H334" s="38" t="n">
        <f aca="false">2*(E334-$C$4)</f>
        <v>-6.76</v>
      </c>
      <c r="I334" s="2" t="n">
        <f aca="false">EXP(E334)/(1 + EXP(E334))^2</f>
        <v>0.25</v>
      </c>
      <c r="J334" s="39" t="n">
        <v>1</v>
      </c>
      <c r="K334" s="2" t="n">
        <f aca="false">D334</f>
        <v>10</v>
      </c>
      <c r="L334" s="39" t="n">
        <f aca="false">-1*$C$14*H334*I334*J334</f>
        <v>0</v>
      </c>
      <c r="M334" s="2" t="n">
        <f aca="false">-1*$C$14*H334*I334*K334</f>
        <v>0</v>
      </c>
    </row>
    <row r="335" customFormat="false" ht="15" hidden="false" customHeight="false" outlineLevel="0" collapsed="false">
      <c r="A335" s="3"/>
      <c r="B335" s="3"/>
      <c r="C335" s="3"/>
      <c r="D335" s="4" t="n">
        <v>15</v>
      </c>
      <c r="E335" s="2" t="n">
        <f aca="false">$A$333+$B$333*D335</f>
        <v>0</v>
      </c>
      <c r="F335" s="2" t="n">
        <f aca="false">E335</f>
        <v>0</v>
      </c>
      <c r="G335" s="37" t="n">
        <f aca="false">($C$5-E335)^2</f>
        <v>14.8996</v>
      </c>
      <c r="H335" s="38" t="n">
        <f aca="false">2*(E335-$C$5)</f>
        <v>-7.72</v>
      </c>
      <c r="I335" s="2" t="n">
        <f aca="false">EXP(E335)/(1 + EXP(E335))^2</f>
        <v>0.25</v>
      </c>
      <c r="J335" s="39" t="n">
        <v>1</v>
      </c>
      <c r="K335" s="2" t="n">
        <f aca="false">D335</f>
        <v>15</v>
      </c>
      <c r="L335" s="39" t="n">
        <f aca="false">-1*$C$14*H335*I335*J335</f>
        <v>0</v>
      </c>
      <c r="M335" s="2" t="n">
        <f aca="false">-1*$C$14*H335*I335*K335</f>
        <v>0</v>
      </c>
    </row>
    <row r="336" customFormat="false" ht="15" hidden="false" customHeight="false" outlineLevel="0" collapsed="false">
      <c r="A336" s="3"/>
      <c r="B336" s="3"/>
      <c r="C336" s="3"/>
      <c r="D336" s="4" t="n">
        <v>20</v>
      </c>
      <c r="E336" s="2" t="n">
        <f aca="false">$A$333+$B$333*D336</f>
        <v>0</v>
      </c>
      <c r="F336" s="2" t="n">
        <f aca="false">E336</f>
        <v>0</v>
      </c>
      <c r="G336" s="37" t="n">
        <f aca="false">($C$6-E336)^2</f>
        <v>20.9764</v>
      </c>
      <c r="H336" s="38" t="n">
        <f aca="false">2*(E336-$C$6)</f>
        <v>-9.16</v>
      </c>
      <c r="I336" s="2" t="n">
        <f aca="false">EXP(E336)/(1 + EXP(E336))^2</f>
        <v>0.25</v>
      </c>
      <c r="J336" s="39" t="n">
        <v>1</v>
      </c>
      <c r="K336" s="2" t="n">
        <f aca="false">D336</f>
        <v>20</v>
      </c>
      <c r="L336" s="39" t="n">
        <f aca="false">-1*$C$14*H336*I336*J336</f>
        <v>0</v>
      </c>
      <c r="M336" s="2" t="n">
        <f aca="false">-1*$C$14*H336*I336*K336</f>
        <v>0</v>
      </c>
    </row>
    <row r="337" customFormat="false" ht="15" hidden="false" customHeight="false" outlineLevel="0" collapsed="false">
      <c r="A337" s="3"/>
      <c r="B337" s="3"/>
      <c r="C337" s="3"/>
      <c r="D337" s="4" t="n">
        <v>25</v>
      </c>
      <c r="E337" s="2" t="n">
        <f aca="false">$A$333+$B$333*D337</f>
        <v>0</v>
      </c>
      <c r="F337" s="2" t="n">
        <f aca="false">E337</f>
        <v>0</v>
      </c>
      <c r="G337" s="37" t="n">
        <f aca="false">($C$7-E337)^2</f>
        <v>75.4002777777778</v>
      </c>
      <c r="H337" s="38" t="n">
        <f aca="false">2*(E337-$C$7)</f>
        <v>-17.3666666666667</v>
      </c>
      <c r="I337" s="2" t="n">
        <f aca="false">EXP(E337)/(1 + EXP(E337))^2</f>
        <v>0.25</v>
      </c>
      <c r="J337" s="39" t="n">
        <v>1</v>
      </c>
      <c r="K337" s="2" t="n">
        <f aca="false">D337</f>
        <v>25</v>
      </c>
      <c r="L337" s="39" t="n">
        <f aca="false">-1*$C$14*H337*I337*J337</f>
        <v>0</v>
      </c>
      <c r="M337" s="2" t="n">
        <f aca="false">-1*$C$14*H337*I337*K337</f>
        <v>0</v>
      </c>
    </row>
    <row r="338" customFormat="false" ht="15" hidden="false" customHeight="false" outlineLevel="0" collapsed="false">
      <c r="A338" s="3"/>
      <c r="B338" s="3"/>
      <c r="C338" s="3"/>
      <c r="D338" s="4" t="n">
        <v>30</v>
      </c>
      <c r="E338" s="2" t="n">
        <f aca="false">$A$333+$B$333*D338</f>
        <v>0</v>
      </c>
      <c r="F338" s="2" t="n">
        <f aca="false">E338</f>
        <v>0</v>
      </c>
      <c r="G338" s="37" t="n">
        <f aca="false">($C$8-E338)^2</f>
        <v>80.2816</v>
      </c>
      <c r="H338" s="38" t="n">
        <f aca="false">2*(E338-$C$8)</f>
        <v>-17.92</v>
      </c>
      <c r="I338" s="2" t="n">
        <f aca="false">EXP(E338)/(1 + EXP(E338))^2</f>
        <v>0.25</v>
      </c>
      <c r="J338" s="39" t="n">
        <v>1</v>
      </c>
      <c r="K338" s="2" t="n">
        <f aca="false">D338</f>
        <v>30</v>
      </c>
      <c r="L338" s="39" t="n">
        <f aca="false">-1*$C$14*H338*I338*J338</f>
        <v>0</v>
      </c>
      <c r="M338" s="2" t="n">
        <f aca="false">-1*$C$14*H338*I338*K338</f>
        <v>0</v>
      </c>
    </row>
    <row r="339" customFormat="false" ht="15" hidden="false" customHeight="false" outlineLevel="0" collapsed="false">
      <c r="A339" s="3"/>
      <c r="B339" s="3"/>
      <c r="C339" s="3"/>
      <c r="D339" s="4" t="n">
        <v>35</v>
      </c>
      <c r="E339" s="2" t="n">
        <f aca="false">$A$333+$B$333*D339</f>
        <v>0</v>
      </c>
      <c r="F339" s="2" t="n">
        <f aca="false">E339</f>
        <v>0</v>
      </c>
      <c r="G339" s="37" t="n">
        <f aca="false">($C$9-E339)^2</f>
        <v>101.136544444444</v>
      </c>
      <c r="H339" s="38" t="n">
        <f aca="false">2*(E339-$C$9)</f>
        <v>-20.1133333333333</v>
      </c>
      <c r="I339" s="2" t="n">
        <f aca="false">EXP(E339)/(1 + EXP(E339))^2</f>
        <v>0.25</v>
      </c>
      <c r="J339" s="39" t="n">
        <v>1</v>
      </c>
      <c r="K339" s="2" t="n">
        <f aca="false">D339</f>
        <v>35</v>
      </c>
      <c r="L339" s="39" t="n">
        <f aca="false">-1*$C$14*H339*I339*J339</f>
        <v>0</v>
      </c>
      <c r="M339" s="2" t="n">
        <f aca="false">-1*$C$14*H339*I339*K339</f>
        <v>0</v>
      </c>
    </row>
    <row r="340" customFormat="false" ht="15" hidden="false" customHeight="false" outlineLevel="0" collapsed="false">
      <c r="A340" s="3"/>
      <c r="B340" s="3"/>
      <c r="C340" s="3"/>
      <c r="D340" s="4" t="n">
        <v>40</v>
      </c>
      <c r="E340" s="2" t="n">
        <f aca="false">$A$333+$B$333*D340</f>
        <v>0</v>
      </c>
      <c r="F340" s="2" t="n">
        <f aca="false">E340</f>
        <v>0</v>
      </c>
      <c r="G340" s="37" t="n">
        <f aca="false">($C$10-E340)^2</f>
        <v>168.826711111111</v>
      </c>
      <c r="H340" s="38" t="n">
        <f aca="false">2*(E340-$C$10)</f>
        <v>-25.9866666666667</v>
      </c>
      <c r="I340" s="2" t="n">
        <f aca="false">EXP(E340)/(1 + EXP(E340))^2</f>
        <v>0.25</v>
      </c>
      <c r="J340" s="39" t="n">
        <v>1</v>
      </c>
      <c r="K340" s="2" t="n">
        <f aca="false">D340</f>
        <v>40</v>
      </c>
      <c r="L340" s="39" t="n">
        <f aca="false">-1*$C$14*H340*I340*J340</f>
        <v>0</v>
      </c>
      <c r="M340" s="2" t="n">
        <f aca="false">-1*$C$14*H340*I340*K340</f>
        <v>0</v>
      </c>
    </row>
    <row r="341" customFormat="false" ht="15" hidden="false" customHeight="false" outlineLevel="0" collapsed="false">
      <c r="A341" s="3"/>
      <c r="B341" s="3"/>
      <c r="C341" s="3"/>
      <c r="D341" s="4" t="n">
        <v>45</v>
      </c>
      <c r="E341" s="2" t="n">
        <f aca="false">$A$333+$B$333*D341</f>
        <v>0</v>
      </c>
      <c r="F341" s="2" t="n">
        <f aca="false">E341</f>
        <v>0</v>
      </c>
      <c r="G341" s="37" t="n">
        <f aca="false">($C$11-E341)^2</f>
        <v>208.2249</v>
      </c>
      <c r="H341" s="38" t="n">
        <f aca="false">2*(E341-$C$11)</f>
        <v>-28.86</v>
      </c>
      <c r="I341" s="2" t="n">
        <f aca="false">EXP(E341)/(1 + EXP(E341))^2</f>
        <v>0.25</v>
      </c>
      <c r="J341" s="39" t="n">
        <v>1</v>
      </c>
      <c r="K341" s="2" t="n">
        <f aca="false">D341</f>
        <v>45</v>
      </c>
      <c r="L341" s="39" t="n">
        <f aca="false">-1*$C$14*H341*I341*J341</f>
        <v>0</v>
      </c>
      <c r="M341" s="2" t="n">
        <f aca="false">-1*$C$14*H341*I341*K341</f>
        <v>0</v>
      </c>
    </row>
    <row r="342" customFormat="false" ht="15" hidden="false" customHeight="false" outlineLevel="0" collapsed="false">
      <c r="A342" s="40"/>
      <c r="B342" s="40"/>
      <c r="C342" s="1"/>
      <c r="D342" s="4" t="n">
        <v>50</v>
      </c>
      <c r="E342" s="2" t="n">
        <f aca="false">$A$333+$B$333*D342</f>
        <v>0</v>
      </c>
      <c r="F342" s="2" t="n">
        <f aca="false">E342</f>
        <v>0</v>
      </c>
      <c r="G342" s="37" t="n">
        <f aca="false">($C$12-E342)^2</f>
        <v>206.401111111111</v>
      </c>
      <c r="H342" s="38" t="n">
        <f aca="false">2*(E342-$C$12)</f>
        <v>-28.7333333333333</v>
      </c>
      <c r="I342" s="2" t="n">
        <f aca="false">EXP(E342)/(1 + EXP(E342))^2</f>
        <v>0.25</v>
      </c>
      <c r="J342" s="39" t="n">
        <v>1</v>
      </c>
      <c r="K342" s="2" t="n">
        <f aca="false">D342</f>
        <v>50</v>
      </c>
      <c r="L342" s="39" t="n">
        <f aca="false">-1*$C$14*H342*I342*J342</f>
        <v>0</v>
      </c>
      <c r="M342" s="2" t="n">
        <f aca="false">-1*$C$14*H342*I342*K342</f>
        <v>0</v>
      </c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41" t="n">
        <f aca="false">SUM(G333:G342)</f>
        <v>892.151144444445</v>
      </c>
      <c r="H343" s="30"/>
      <c r="I343" s="1"/>
      <c r="J343" s="1"/>
      <c r="K343" s="1"/>
      <c r="L343" s="42" t="n">
        <f aca="false">AVERAGE(L333:L342)</f>
        <v>0</v>
      </c>
      <c r="M343" s="42" t="n">
        <f aca="false">AVERAGE(M333:M342)</f>
        <v>0</v>
      </c>
    </row>
    <row r="345" customFormat="false" ht="15" hidden="false" customHeight="false" outlineLevel="0" collapsed="false">
      <c r="A345" s="43" t="s">
        <v>46</v>
      </c>
    </row>
    <row r="346" customFormat="false" ht="15" hidden="false" customHeight="false" outlineLevel="0" collapsed="false">
      <c r="A346" s="3" t="s">
        <v>8</v>
      </c>
      <c r="B346" s="28" t="s">
        <v>9</v>
      </c>
      <c r="C346" s="1"/>
      <c r="D346" s="3" t="s">
        <v>10</v>
      </c>
      <c r="E346" s="29" t="s">
        <v>11</v>
      </c>
      <c r="F346" s="3" t="s">
        <v>12</v>
      </c>
      <c r="G346" s="3" t="s">
        <v>13</v>
      </c>
      <c r="H346" s="30"/>
      <c r="I346" s="1"/>
      <c r="J346" s="31" t="s">
        <v>14</v>
      </c>
      <c r="K346" s="31"/>
      <c r="L346" s="32" t="s">
        <v>15</v>
      </c>
      <c r="M346" s="32"/>
    </row>
    <row r="347" customFormat="false" ht="15" hidden="false" customHeight="false" outlineLevel="0" collapsed="false">
      <c r="A347" s="33" t="s">
        <v>16</v>
      </c>
      <c r="B347" s="33" t="s">
        <v>17</v>
      </c>
      <c r="C347" s="33"/>
      <c r="D347" s="33" t="s">
        <v>18</v>
      </c>
      <c r="E347" s="33" t="s">
        <v>19</v>
      </c>
      <c r="F347" s="33" t="s">
        <v>20</v>
      </c>
      <c r="G347" s="33" t="s">
        <v>21</v>
      </c>
      <c r="H347" s="34" t="s">
        <v>22</v>
      </c>
      <c r="I347" s="35" t="s">
        <v>23</v>
      </c>
      <c r="J347" s="34" t="s">
        <v>24</v>
      </c>
      <c r="K347" s="35" t="s">
        <v>25</v>
      </c>
      <c r="L347" s="36" t="s">
        <v>24</v>
      </c>
      <c r="M347" s="35" t="s">
        <v>25</v>
      </c>
    </row>
    <row r="348" customFormat="false" ht="15" hidden="false" customHeight="false" outlineLevel="0" collapsed="false">
      <c r="A348" s="3" t="n">
        <f aca="false">A333+L343</f>
        <v>0</v>
      </c>
      <c r="B348" s="3" t="n">
        <f aca="false">B333+M343</f>
        <v>0</v>
      </c>
      <c r="C348" s="3"/>
      <c r="D348" s="4" t="n">
        <v>5</v>
      </c>
      <c r="E348" s="2" t="n">
        <f aca="false">$A$348+$B$348*D348</f>
        <v>0</v>
      </c>
      <c r="F348" s="2" t="n">
        <f aca="false">E348</f>
        <v>0</v>
      </c>
      <c r="G348" s="37" t="n">
        <f aca="false">($C$3-E348)^2</f>
        <v>4.5796</v>
      </c>
      <c r="H348" s="38" t="n">
        <f aca="false">2*(E348-$C$3)</f>
        <v>-4.28</v>
      </c>
      <c r="I348" s="2" t="n">
        <f aca="false">EXP(E348)/(1 + EXP(E348))^2</f>
        <v>0.25</v>
      </c>
      <c r="J348" s="39" t="n">
        <v>1</v>
      </c>
      <c r="K348" s="2" t="n">
        <f aca="false">D348</f>
        <v>5</v>
      </c>
      <c r="L348" s="39" t="n">
        <f aca="false">-1*$C$14*H348*I348*J348</f>
        <v>0</v>
      </c>
      <c r="M348" s="2" t="n">
        <f aca="false">-1*$C$14*H348*I348*K348</f>
        <v>0</v>
      </c>
    </row>
    <row r="349" customFormat="false" ht="15" hidden="false" customHeight="false" outlineLevel="0" collapsed="false">
      <c r="A349" s="3"/>
      <c r="B349" s="3"/>
      <c r="C349" s="3"/>
      <c r="D349" s="4" t="n">
        <v>10</v>
      </c>
      <c r="E349" s="2" t="n">
        <f aca="false">$A$348+$B$348*D349</f>
        <v>0</v>
      </c>
      <c r="F349" s="2" t="n">
        <f aca="false">E349</f>
        <v>0</v>
      </c>
      <c r="G349" s="37" t="n">
        <f aca="false">($C$4-E349)^2</f>
        <v>11.4244</v>
      </c>
      <c r="H349" s="38" t="n">
        <f aca="false">2*(E349-$C$4)</f>
        <v>-6.76</v>
      </c>
      <c r="I349" s="2" t="n">
        <f aca="false">EXP(E349)/(1 + EXP(E349))^2</f>
        <v>0.25</v>
      </c>
      <c r="J349" s="39" t="n">
        <v>1</v>
      </c>
      <c r="K349" s="2" t="n">
        <f aca="false">D349</f>
        <v>10</v>
      </c>
      <c r="L349" s="39" t="n">
        <f aca="false">-1*$C$14*H349*I349*J349</f>
        <v>0</v>
      </c>
      <c r="M349" s="2" t="n">
        <f aca="false">-1*$C$14*H349*I349*K349</f>
        <v>0</v>
      </c>
    </row>
    <row r="350" customFormat="false" ht="15" hidden="false" customHeight="false" outlineLevel="0" collapsed="false">
      <c r="A350" s="3"/>
      <c r="B350" s="3"/>
      <c r="C350" s="3"/>
      <c r="D350" s="4" t="n">
        <v>15</v>
      </c>
      <c r="E350" s="2" t="n">
        <f aca="false">$A$348+$B$348*D350</f>
        <v>0</v>
      </c>
      <c r="F350" s="2" t="n">
        <f aca="false">E350</f>
        <v>0</v>
      </c>
      <c r="G350" s="37" t="n">
        <f aca="false">($C$5-E350)^2</f>
        <v>14.8996</v>
      </c>
      <c r="H350" s="38" t="n">
        <f aca="false">2*(E350-$C$5)</f>
        <v>-7.72</v>
      </c>
      <c r="I350" s="2" t="n">
        <f aca="false">EXP(E350)/(1 + EXP(E350))^2</f>
        <v>0.25</v>
      </c>
      <c r="J350" s="39" t="n">
        <v>1</v>
      </c>
      <c r="K350" s="2" t="n">
        <f aca="false">D350</f>
        <v>15</v>
      </c>
      <c r="L350" s="39" t="n">
        <f aca="false">-1*$C$14*H350*I350*J350</f>
        <v>0</v>
      </c>
      <c r="M350" s="2" t="n">
        <f aca="false">-1*$C$14*H350*I350*K350</f>
        <v>0</v>
      </c>
    </row>
    <row r="351" customFormat="false" ht="15" hidden="false" customHeight="false" outlineLevel="0" collapsed="false">
      <c r="A351" s="3"/>
      <c r="B351" s="3"/>
      <c r="C351" s="3"/>
      <c r="D351" s="4" t="n">
        <v>20</v>
      </c>
      <c r="E351" s="2" t="n">
        <f aca="false">$A$348+$B$348*D351</f>
        <v>0</v>
      </c>
      <c r="F351" s="2" t="n">
        <f aca="false">E351</f>
        <v>0</v>
      </c>
      <c r="G351" s="37" t="n">
        <f aca="false">($C$6-E351)^2</f>
        <v>20.9764</v>
      </c>
      <c r="H351" s="38" t="n">
        <f aca="false">2*(E351-$C$6)</f>
        <v>-9.16</v>
      </c>
      <c r="I351" s="2" t="n">
        <f aca="false">EXP(E351)/(1 + EXP(E351))^2</f>
        <v>0.25</v>
      </c>
      <c r="J351" s="39" t="n">
        <v>1</v>
      </c>
      <c r="K351" s="2" t="n">
        <f aca="false">D351</f>
        <v>20</v>
      </c>
      <c r="L351" s="39" t="n">
        <f aca="false">-1*$C$14*H351*I351*J351</f>
        <v>0</v>
      </c>
      <c r="M351" s="2" t="n">
        <f aca="false">-1*$C$14*H351*I351*K351</f>
        <v>0</v>
      </c>
    </row>
    <row r="352" customFormat="false" ht="15" hidden="false" customHeight="false" outlineLevel="0" collapsed="false">
      <c r="A352" s="3"/>
      <c r="B352" s="3"/>
      <c r="C352" s="3"/>
      <c r="D352" s="4" t="n">
        <v>25</v>
      </c>
      <c r="E352" s="2" t="n">
        <f aca="false">$A$348+$B$348*D352</f>
        <v>0</v>
      </c>
      <c r="F352" s="2" t="n">
        <f aca="false">E352</f>
        <v>0</v>
      </c>
      <c r="G352" s="37" t="n">
        <f aca="false">($C$7-E352)^2</f>
        <v>75.4002777777778</v>
      </c>
      <c r="H352" s="38" t="n">
        <f aca="false">2*(E352-$C$7)</f>
        <v>-17.3666666666667</v>
      </c>
      <c r="I352" s="2" t="n">
        <f aca="false">EXP(E352)/(1 + EXP(E352))^2</f>
        <v>0.25</v>
      </c>
      <c r="J352" s="39" t="n">
        <v>1</v>
      </c>
      <c r="K352" s="2" t="n">
        <f aca="false">D352</f>
        <v>25</v>
      </c>
      <c r="L352" s="39" t="n">
        <f aca="false">-1*$C$14*H352*I352*J352</f>
        <v>0</v>
      </c>
      <c r="M352" s="2" t="n">
        <f aca="false">-1*$C$14*H352*I352*K352</f>
        <v>0</v>
      </c>
    </row>
    <row r="353" customFormat="false" ht="15" hidden="false" customHeight="false" outlineLevel="0" collapsed="false">
      <c r="A353" s="3"/>
      <c r="B353" s="3"/>
      <c r="C353" s="3"/>
      <c r="D353" s="4" t="n">
        <v>30</v>
      </c>
      <c r="E353" s="2" t="n">
        <f aca="false">$A$348+$B$348*D353</f>
        <v>0</v>
      </c>
      <c r="F353" s="2" t="n">
        <f aca="false">E353</f>
        <v>0</v>
      </c>
      <c r="G353" s="37" t="n">
        <f aca="false">($C$8-E353)^2</f>
        <v>80.2816</v>
      </c>
      <c r="H353" s="38" t="n">
        <f aca="false">2*(E353-$C$8)</f>
        <v>-17.92</v>
      </c>
      <c r="I353" s="2" t="n">
        <f aca="false">EXP(E353)/(1 + EXP(E353))^2</f>
        <v>0.25</v>
      </c>
      <c r="J353" s="39" t="n">
        <v>1</v>
      </c>
      <c r="K353" s="2" t="n">
        <f aca="false">D353</f>
        <v>30</v>
      </c>
      <c r="L353" s="39" t="n">
        <f aca="false">-1*$C$14*H353*I353*J353</f>
        <v>0</v>
      </c>
      <c r="M353" s="2" t="n">
        <f aca="false">-1*$C$14*H353*I353*K353</f>
        <v>0</v>
      </c>
    </row>
    <row r="354" customFormat="false" ht="15" hidden="false" customHeight="false" outlineLevel="0" collapsed="false">
      <c r="A354" s="3"/>
      <c r="B354" s="3"/>
      <c r="C354" s="3"/>
      <c r="D354" s="4" t="n">
        <v>35</v>
      </c>
      <c r="E354" s="2" t="n">
        <f aca="false">$A$348+$B$348*D354</f>
        <v>0</v>
      </c>
      <c r="F354" s="2" t="n">
        <f aca="false">E354</f>
        <v>0</v>
      </c>
      <c r="G354" s="37" t="n">
        <f aca="false">($C$9-E354)^2</f>
        <v>101.136544444444</v>
      </c>
      <c r="H354" s="38" t="n">
        <f aca="false">2*(E354-$C$9)</f>
        <v>-20.1133333333333</v>
      </c>
      <c r="I354" s="2" t="n">
        <f aca="false">EXP(E354)/(1 + EXP(E354))^2</f>
        <v>0.25</v>
      </c>
      <c r="J354" s="39" t="n">
        <v>1</v>
      </c>
      <c r="K354" s="2" t="n">
        <f aca="false">D354</f>
        <v>35</v>
      </c>
      <c r="L354" s="39" t="n">
        <f aca="false">-1*$C$14*H354*I354*J354</f>
        <v>0</v>
      </c>
      <c r="M354" s="2" t="n">
        <f aca="false">-1*$C$14*H354*I354*K354</f>
        <v>0</v>
      </c>
    </row>
    <row r="355" customFormat="false" ht="15" hidden="false" customHeight="false" outlineLevel="0" collapsed="false">
      <c r="A355" s="3"/>
      <c r="B355" s="3"/>
      <c r="C355" s="3"/>
      <c r="D355" s="4" t="n">
        <v>40</v>
      </c>
      <c r="E355" s="2" t="n">
        <f aca="false">$A$348+$B$348*D355</f>
        <v>0</v>
      </c>
      <c r="F355" s="2" t="n">
        <f aca="false">E355</f>
        <v>0</v>
      </c>
      <c r="G355" s="37" t="n">
        <f aca="false">($C$10-E355)^2</f>
        <v>168.826711111111</v>
      </c>
      <c r="H355" s="38" t="n">
        <f aca="false">2*(E355-$C$10)</f>
        <v>-25.9866666666667</v>
      </c>
      <c r="I355" s="2" t="n">
        <f aca="false">EXP(E355)/(1 + EXP(E355))^2</f>
        <v>0.25</v>
      </c>
      <c r="J355" s="39" t="n">
        <v>1</v>
      </c>
      <c r="K355" s="2" t="n">
        <f aca="false">D355</f>
        <v>40</v>
      </c>
      <c r="L355" s="39" t="n">
        <f aca="false">-1*$C$14*H355*I355*J355</f>
        <v>0</v>
      </c>
      <c r="M355" s="2" t="n">
        <f aca="false">-1*$C$14*H355*I355*K355</f>
        <v>0</v>
      </c>
    </row>
    <row r="356" customFormat="false" ht="15" hidden="false" customHeight="false" outlineLevel="0" collapsed="false">
      <c r="A356" s="3"/>
      <c r="B356" s="3"/>
      <c r="C356" s="3"/>
      <c r="D356" s="4" t="n">
        <v>45</v>
      </c>
      <c r="E356" s="2" t="n">
        <f aca="false">$A$348+$B$348*D356</f>
        <v>0</v>
      </c>
      <c r="F356" s="2" t="n">
        <f aca="false">E356</f>
        <v>0</v>
      </c>
      <c r="G356" s="37" t="n">
        <f aca="false">($C$11-E356)^2</f>
        <v>208.2249</v>
      </c>
      <c r="H356" s="38" t="n">
        <f aca="false">2*(E356-$C$11)</f>
        <v>-28.86</v>
      </c>
      <c r="I356" s="2" t="n">
        <f aca="false">EXP(E356)/(1 + EXP(E356))^2</f>
        <v>0.25</v>
      </c>
      <c r="J356" s="39" t="n">
        <v>1</v>
      </c>
      <c r="K356" s="2" t="n">
        <f aca="false">D356</f>
        <v>45</v>
      </c>
      <c r="L356" s="39" t="n">
        <f aca="false">-1*$C$14*H356*I356*J356</f>
        <v>0</v>
      </c>
      <c r="M356" s="2" t="n">
        <f aca="false">-1*$C$14*H356*I356*K356</f>
        <v>0</v>
      </c>
    </row>
    <row r="357" customFormat="false" ht="15" hidden="false" customHeight="false" outlineLevel="0" collapsed="false">
      <c r="A357" s="40"/>
      <c r="B357" s="40"/>
      <c r="C357" s="1"/>
      <c r="D357" s="4" t="n">
        <v>50</v>
      </c>
      <c r="E357" s="2" t="n">
        <f aca="false">$A$348+$B$348*D357</f>
        <v>0</v>
      </c>
      <c r="F357" s="2" t="n">
        <f aca="false">E357</f>
        <v>0</v>
      </c>
      <c r="G357" s="37" t="n">
        <f aca="false">($C$12-E357)^2</f>
        <v>206.401111111111</v>
      </c>
      <c r="H357" s="38" t="n">
        <f aca="false">2*(E357-$C$12)</f>
        <v>-28.7333333333333</v>
      </c>
      <c r="I357" s="2" t="n">
        <f aca="false">EXP(E357)/(1 + EXP(E357))^2</f>
        <v>0.25</v>
      </c>
      <c r="J357" s="39" t="n">
        <v>1</v>
      </c>
      <c r="K357" s="2" t="n">
        <f aca="false">D357</f>
        <v>50</v>
      </c>
      <c r="L357" s="39" t="n">
        <f aca="false">-1*$C$14*H357*I357*J357</f>
        <v>0</v>
      </c>
      <c r="M357" s="2" t="n">
        <f aca="false">-1*$C$14*H357*I357*K357</f>
        <v>0</v>
      </c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41" t="n">
        <f aca="false">SUM(G348:G357)</f>
        <v>892.151144444445</v>
      </c>
      <c r="H358" s="30"/>
      <c r="I358" s="1"/>
      <c r="J358" s="1"/>
      <c r="K358" s="1"/>
      <c r="L358" s="42" t="n">
        <f aca="false">AVERAGE(L348:L357)</f>
        <v>0</v>
      </c>
      <c r="M358" s="42" t="n">
        <f aca="false">AVERAGE(M348:M357)</f>
        <v>0</v>
      </c>
    </row>
  </sheetData>
  <mergeCells count="49">
    <mergeCell ref="B1:C1"/>
    <mergeCell ref="I3:J3"/>
    <mergeCell ref="A14:B14"/>
    <mergeCell ref="J16:K16"/>
    <mergeCell ref="L16:M16"/>
    <mergeCell ref="J31:K31"/>
    <mergeCell ref="L31:M31"/>
    <mergeCell ref="J46:K46"/>
    <mergeCell ref="L46:M46"/>
    <mergeCell ref="J61:K61"/>
    <mergeCell ref="L61:M61"/>
    <mergeCell ref="J76:K76"/>
    <mergeCell ref="L76:M76"/>
    <mergeCell ref="J91:K91"/>
    <mergeCell ref="L91:M91"/>
    <mergeCell ref="J106:K106"/>
    <mergeCell ref="L106:M106"/>
    <mergeCell ref="J121:K121"/>
    <mergeCell ref="L121:M121"/>
    <mergeCell ref="J136:K136"/>
    <mergeCell ref="L136:M136"/>
    <mergeCell ref="J151:K151"/>
    <mergeCell ref="L151:M151"/>
    <mergeCell ref="J166:K166"/>
    <mergeCell ref="L166:M166"/>
    <mergeCell ref="J181:K181"/>
    <mergeCell ref="L181:M181"/>
    <mergeCell ref="J196:K196"/>
    <mergeCell ref="L196:M196"/>
    <mergeCell ref="J211:K211"/>
    <mergeCell ref="L211:M211"/>
    <mergeCell ref="J226:K226"/>
    <mergeCell ref="L226:M226"/>
    <mergeCell ref="J241:K241"/>
    <mergeCell ref="L241:M241"/>
    <mergeCell ref="J256:K256"/>
    <mergeCell ref="L256:M256"/>
    <mergeCell ref="J271:K271"/>
    <mergeCell ref="L271:M271"/>
    <mergeCell ref="J286:K286"/>
    <mergeCell ref="L286:M286"/>
    <mergeCell ref="J301:K301"/>
    <mergeCell ref="L301:M301"/>
    <mergeCell ref="J316:K316"/>
    <mergeCell ref="L316:M316"/>
    <mergeCell ref="J331:K331"/>
    <mergeCell ref="L331:M331"/>
    <mergeCell ref="J346:K346"/>
    <mergeCell ref="L346:M3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9.14453125" defaultRowHeight="15.7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1.43"/>
    <col collapsed="false" customWidth="true" hidden="false" outlineLevel="0" max="4" min="4" style="2" width="15.43"/>
    <col collapsed="false" customWidth="true" hidden="false" outlineLevel="0" max="5" min="5" style="2" width="25.43"/>
    <col collapsed="false" customWidth="true" hidden="false" outlineLevel="0" max="6" min="6" style="2" width="5.86"/>
    <col collapsed="false" customWidth="true" hidden="false" outlineLevel="0" max="7" min="7" style="2" width="13.86"/>
    <col collapsed="false" customWidth="true" hidden="false" outlineLevel="0" max="8" min="8" style="2" width="14.7"/>
    <col collapsed="false" customWidth="true" hidden="false" outlineLevel="0" max="9" min="9" style="1" width="16.29"/>
    <col collapsed="false" customWidth="true" hidden="false" outlineLevel="0" max="10" min="10" style="1" width="18.43"/>
    <col collapsed="false" customWidth="false" hidden="false" outlineLevel="0" max="16384" min="11" style="1" width="9.14"/>
  </cols>
  <sheetData>
    <row r="2" s="1" customFormat="true" ht="15.75" hidden="false" customHeight="false" outlineLevel="0" collapsed="false">
      <c r="B2" s="44" t="s">
        <v>0</v>
      </c>
      <c r="C2" s="45" t="s">
        <v>1</v>
      </c>
      <c r="D2" s="45"/>
      <c r="E2" s="46" t="s">
        <v>47</v>
      </c>
      <c r="F2" s="2"/>
    </row>
    <row r="3" customFormat="false" ht="15.75" hidden="false" customHeight="false" outlineLevel="0" collapsed="false">
      <c r="B3" s="47" t="s">
        <v>2</v>
      </c>
      <c r="C3" s="48" t="s">
        <v>3</v>
      </c>
      <c r="D3" s="48" t="s">
        <v>48</v>
      </c>
      <c r="E3" s="49" t="s">
        <v>49</v>
      </c>
      <c r="F3" s="3"/>
      <c r="G3" s="25" t="s">
        <v>50</v>
      </c>
      <c r="H3" s="50"/>
    </row>
    <row r="4" s="1" customFormat="true" ht="15.75" hidden="false" customHeight="false" outlineLevel="0" collapsed="false">
      <c r="B4" s="51" t="n">
        <v>5</v>
      </c>
      <c r="C4" s="52" t="n">
        <v>2.14</v>
      </c>
      <c r="D4" s="53"/>
      <c r="E4" s="54"/>
      <c r="F4" s="2"/>
    </row>
    <row r="5" s="1" customFormat="true" ht="15.75" hidden="false" customHeight="false" outlineLevel="0" collapsed="false">
      <c r="B5" s="51" t="n">
        <v>10</v>
      </c>
      <c r="C5" s="52" t="n">
        <v>3.38</v>
      </c>
      <c r="D5" s="53"/>
      <c r="E5" s="54"/>
      <c r="F5" s="2"/>
    </row>
    <row r="6" s="1" customFormat="true" ht="15.75" hidden="false" customHeight="false" outlineLevel="0" collapsed="false">
      <c r="B6" s="51" t="n">
        <v>15</v>
      </c>
      <c r="C6" s="52" t="n">
        <v>3.86</v>
      </c>
      <c r="D6" s="53"/>
      <c r="E6" s="54"/>
      <c r="F6" s="2"/>
    </row>
    <row r="7" s="1" customFormat="true" ht="15.75" hidden="false" customHeight="false" outlineLevel="0" collapsed="false">
      <c r="B7" s="51" t="n">
        <v>20</v>
      </c>
      <c r="C7" s="52" t="n">
        <v>4.58</v>
      </c>
      <c r="D7" s="53"/>
      <c r="E7" s="54"/>
      <c r="F7" s="2"/>
    </row>
    <row r="8" s="1" customFormat="true" ht="15.75" hidden="false" customHeight="false" outlineLevel="0" collapsed="false">
      <c r="B8" s="51" t="n">
        <v>25</v>
      </c>
      <c r="C8" s="52" t="n">
        <v>8.68333333333333</v>
      </c>
      <c r="D8" s="53"/>
      <c r="E8" s="54"/>
      <c r="F8" s="2"/>
    </row>
    <row r="9" s="1" customFormat="true" ht="15.75" hidden="false" customHeight="false" outlineLevel="0" collapsed="false">
      <c r="B9" s="51" t="n">
        <v>30</v>
      </c>
      <c r="C9" s="52" t="n">
        <v>8.96</v>
      </c>
      <c r="D9" s="53"/>
      <c r="E9" s="54"/>
      <c r="F9" s="2"/>
    </row>
    <row r="10" s="1" customFormat="true" ht="15.75" hidden="false" customHeight="false" outlineLevel="0" collapsed="false">
      <c r="B10" s="51" t="n">
        <v>35</v>
      </c>
      <c r="C10" s="52" t="n">
        <v>10.0566666666667</v>
      </c>
      <c r="D10" s="53"/>
      <c r="E10" s="54"/>
      <c r="F10" s="2"/>
    </row>
    <row r="11" s="1" customFormat="true" ht="15.75" hidden="false" customHeight="false" outlineLevel="0" collapsed="false">
      <c r="B11" s="51" t="n">
        <v>40</v>
      </c>
      <c r="C11" s="52" t="n">
        <v>12.9933333333333</v>
      </c>
      <c r="D11" s="53"/>
      <c r="E11" s="54"/>
      <c r="F11" s="2"/>
    </row>
    <row r="12" s="1" customFormat="true" ht="15.75" hidden="false" customHeight="false" outlineLevel="0" collapsed="false">
      <c r="B12" s="51" t="n">
        <v>45</v>
      </c>
      <c r="C12" s="52" t="n">
        <v>14.43</v>
      </c>
      <c r="D12" s="53"/>
      <c r="E12" s="54"/>
      <c r="F12" s="2"/>
    </row>
    <row r="13" s="1" customFormat="true" ht="15.75" hidden="false" customHeight="false" outlineLevel="0" collapsed="false">
      <c r="B13" s="55" t="n">
        <v>50</v>
      </c>
      <c r="C13" s="56" t="n">
        <v>14.3666666666667</v>
      </c>
      <c r="D13" s="57"/>
      <c r="E13" s="58"/>
      <c r="F13" s="2"/>
    </row>
    <row r="14" customFormat="false" ht="15.75" hidden="false" customHeight="false" outlineLevel="0" collapsed="false">
      <c r="D14" s="4"/>
      <c r="E14" s="5"/>
    </row>
    <row r="15" customFormat="false" ht="15.75" hidden="false" customHeight="false" outlineLevel="0" collapsed="false">
      <c r="D15" s="4"/>
      <c r="E15" s="5"/>
    </row>
    <row r="16" customFormat="false" ht="15.75" hidden="false" customHeight="false" outlineLevel="0" collapsed="false">
      <c r="B16" s="59" t="s">
        <v>51</v>
      </c>
      <c r="C16" s="60"/>
    </row>
    <row r="17" customFormat="false" ht="15.75" hidden="false" customHeight="false" outlineLevel="0" collapsed="false">
      <c r="B17" s="61" t="s">
        <v>52</v>
      </c>
      <c r="C17" s="62"/>
    </row>
    <row r="26" customFormat="false" ht="15.75" hidden="false" customHeight="false" outlineLevel="0" collapsed="false">
      <c r="D26" s="2" t="s">
        <v>4</v>
      </c>
    </row>
    <row r="28" customFormat="false" ht="15.75" hidden="false" customHeight="false" outlineLevel="0" collapsed="false">
      <c r="D28" s="2" t="s">
        <v>4</v>
      </c>
    </row>
    <row r="29" customFormat="false" ht="15.75" hidden="false" customHeight="false" outlineLevel="0" collapsed="false">
      <c r="D29" s="2" t="s">
        <v>4</v>
      </c>
    </row>
    <row r="31" customFormat="false" ht="15.75" hidden="false" customHeight="false" outlineLevel="0" collapsed="false">
      <c r="D31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2026-01-16T19:00:46Z</dcterms:created>
  <dc:creator>Jason Wade Morphew</dc:creator>
  <dc:description/>
  <dc:language>en-US</dc:language>
  <cp:lastModifiedBy/>
  <dcterms:modified xsi:type="dcterms:W3CDTF">2026-09-11T10:19:32Z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