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ey\Box\Main Pathway Redesign\Fall 2026 Curriculum\EX2\"/>
    </mc:Choice>
  </mc:AlternateContent>
  <xr:revisionPtr revIDLastSave="0" documentId="13_ncr:1_{2A0AE9D6-D28C-4062-9B9C-6F09E0FAF786}" xr6:coauthVersionLast="47" xr6:coauthVersionMax="47" xr10:uidLastSave="{00000000-0000-0000-0000-000000000000}"/>
  <bookViews>
    <workbookView xWindow="37980" yWindow="3615" windowWidth="21600" windowHeight="11295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6" i="1"/>
  <c r="I10" i="1"/>
  <c r="I9" i="1"/>
  <c r="I8" i="1" a="1"/>
  <c r="I8" i="1" s="1"/>
  <c r="I7" i="1"/>
  <c r="I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<sst xmlns="http://schemas.openxmlformats.org/spreadsheetml/2006/main" count="29" uniqueCount="24">
  <si>
    <t>ENGR 131</t>
  </si>
  <si>
    <t xml:space="preserve">Assignment: </t>
  </si>
  <si>
    <t xml:space="preserve">Author: </t>
  </si>
  <si>
    <t>Email</t>
  </si>
  <si>
    <t>login@purdue.edu</t>
  </si>
  <si>
    <t>PCA02</t>
  </si>
  <si>
    <t>Dataset</t>
  </si>
  <si>
    <t>Battery Life (minutes)</t>
  </si>
  <si>
    <t xml:space="preserve"> Requirement Met</t>
  </si>
  <si>
    <t>Trial</t>
  </si>
  <si>
    <t>Summary Statistics</t>
  </si>
  <si>
    <t>Statistic</t>
  </si>
  <si>
    <t>Value</t>
  </si>
  <si>
    <t xml:space="preserve">Mode </t>
  </si>
  <si>
    <t>Range</t>
  </si>
  <si>
    <t>Standard Deviation</t>
  </si>
  <si>
    <t>Mean</t>
  </si>
  <si>
    <t>Median</t>
  </si>
  <si>
    <t>Number that PASS</t>
  </si>
  <si>
    <t>Number that FAIL</t>
  </si>
  <si>
    <t>Units</t>
  </si>
  <si>
    <t>SOLUTION</t>
  </si>
  <si>
    <t>Minutes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</si>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</sst>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u/>
      <sz val="12"/>
      <name val="Aptos Display"/>
      <family val="2"/>
      <scheme val="major"/>
    </font>
    <font>
      <b/>
      <sz val="12"/>
      <color theme="1"/>
      <name val="Aptos"/>
      <family val="2"/>
    </font>
    <font>
      <b/>
      <sz val="12"/>
      <color rgb="FFC00000"/>
      <name val="Aptos"/>
      <family val="2"/>
    </font>
    <font>
      <b/>
      <sz val="12"/>
      <color rgb="FFC0000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1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/>
    <xf numFmtId="0" fontId="0" fillId="0" borderId="1" xfId="0" applyFill="1" applyBorder="1"/>
    <xf numFmtId="2" fontId="6" fillId="0" borderId="1" xfId="0" applyNumberFormat="1" applyFont="1" applyBorder="1"/>
    <xf numFmtId="0" fontId="6" fillId="0" borderId="1" xfId="0" applyFont="1" applyBorder="1"/>
    <xf numFmtId="1" fontId="6" fillId="0" borderId="1" xfId="0" applyNumberFormat="1" applyFont="1" applyBorder="1"/>
    <xf numFmtId="0" fontId="7" fillId="0" borderId="1" xfId="0" applyFont="1" applyBorder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J35"/>
  <sheetViews>
    <sheetView tabSelected="1" workbookViewId="0">
      <selection activeCell="H17" sqref="H17"/>
    </sheetView>
  </sheetViews>
  <sheetFormatPr defaultColWidth="8.88671875" defaultRowHeight="15.75" x14ac:dyDescent="0.25"/>
  <cols>
    <col min="1" max="2" width="18.88671875" style="2" customWidth="1"/>
    <col min="3" max="3" width="7.77734375" style="2" customWidth="1"/>
    <col min="4" max="4" width="8.88671875" style="2"/>
    <col min="5" max="5" width="19.5546875" style="2" customWidth="1"/>
    <col min="6" max="6" width="15.21875" style="2" customWidth="1"/>
    <col min="7" max="7" width="5.44140625" style="2" customWidth="1"/>
    <col min="8" max="8" width="16.77734375" style="2" customWidth="1"/>
    <col min="9" max="9" width="12.5546875" style="2" customWidth="1"/>
    <col min="10" max="16384" width="8.88671875" style="2"/>
  </cols>
  <sheetData>
    <row r="2" spans="1:10" x14ac:dyDescent="0.25">
      <c r="A2" s="1" t="s">
        <v>0</v>
      </c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A4" s="3" t="s">
        <v>1</v>
      </c>
      <c r="B4" s="2" t="s">
        <v>5</v>
      </c>
      <c r="D4" s="1" t="s">
        <v>6</v>
      </c>
      <c r="G4"/>
      <c r="H4" s="1" t="s">
        <v>10</v>
      </c>
    </row>
    <row r="5" spans="1:10" x14ac:dyDescent="0.25">
      <c r="A5" s="3" t="s">
        <v>2</v>
      </c>
      <c r="B5" s="15" t="s">
        <v>21</v>
      </c>
      <c r="D5" s="8" t="s">
        <v>9</v>
      </c>
      <c r="E5" s="8" t="s">
        <v>7</v>
      </c>
      <c r="F5" s="9" t="s">
        <v>8</v>
      </c>
      <c r="G5"/>
      <c r="H5" s="5" t="s">
        <v>11</v>
      </c>
      <c r="I5" s="5" t="s">
        <v>12</v>
      </c>
      <c r="J5" s="5" t="s">
        <v>20</v>
      </c>
    </row>
    <row r="6" spans="1:10" x14ac:dyDescent="0.25">
      <c r="A6" s="3" t="s">
        <v>3</v>
      </c>
      <c r="B6" s="4" t="s">
        <v>4</v>
      </c>
      <c r="D6" s="6">
        <v>1</v>
      </c>
      <c r="E6" s="6">
        <v>82</v>
      </c>
      <c r="F6" s="14" t="str">
        <f>IF(E6&gt;=80,"PASS","FAIL")</f>
        <v>PASS</v>
      </c>
      <c r="G6"/>
      <c r="H6" s="7" t="s">
        <v>16</v>
      </c>
      <c r="I6" s="11">
        <f>AVERAGE(E6:E35)</f>
        <v>82.333333333333329</v>
      </c>
      <c r="J6" s="12" t="s">
        <v>22</v>
      </c>
    </row>
    <row r="7" spans="1:10" x14ac:dyDescent="0.25">
      <c r="D7" s="6">
        <v>2</v>
      </c>
      <c r="E7" s="6">
        <v>75</v>
      </c>
      <c r="F7" s="14" t="str">
        <f t="shared" ref="F7:F35" si="0">IF(E7&gt;=80,"PASS","FAIL")</f>
        <v>FAIL</v>
      </c>
      <c r="G7"/>
      <c r="H7" s="7" t="s">
        <v>17</v>
      </c>
      <c r="I7" s="11">
        <f>MEDIAN(E6:E35)</f>
        <v>82.5</v>
      </c>
      <c r="J7" s="12" t="s">
        <v>22</v>
      </c>
    </row>
    <row r="8" spans="1:10" x14ac:dyDescent="0.25">
      <c r="D8" s="6">
        <v>3</v>
      </c>
      <c r="E8" s="6">
        <v>91</v>
      </c>
      <c r="F8" s="14" t="str">
        <f t="shared" si="0"/>
        <v>PASS</v>
      </c>
      <c r="G8"/>
      <c r="H8" s="7" t="s">
        <v>13</v>
      </c>
      <c r="I8" s="11" cm="1">
        <f t="array" ref="I8">_xlfn.MODE.MULT(E6:E35)</f>
        <v>82</v>
      </c>
      <c r="J8" s="12" t="s">
        <v>22</v>
      </c>
    </row>
    <row r="9" spans="1:10" x14ac:dyDescent="0.25">
      <c r="D9" s="6">
        <v>4</v>
      </c>
      <c r="E9" s="6">
        <v>68</v>
      </c>
      <c r="F9" s="14" t="str">
        <f t="shared" si="0"/>
        <v>FAIL</v>
      </c>
      <c r="G9"/>
      <c r="H9" s="7" t="s">
        <v>14</v>
      </c>
      <c r="I9" s="11">
        <f>MAX(E6:E35)-MIN(E6:E35)</f>
        <v>27</v>
      </c>
      <c r="J9" s="12" t="s">
        <v>22</v>
      </c>
    </row>
    <row r="10" spans="1:10" x14ac:dyDescent="0.25">
      <c r="D10" s="6">
        <v>5</v>
      </c>
      <c r="E10" s="6">
        <v>85</v>
      </c>
      <c r="F10" s="14" t="str">
        <f t="shared" si="0"/>
        <v>PASS</v>
      </c>
      <c r="G10"/>
      <c r="H10" s="7" t="s">
        <v>15</v>
      </c>
      <c r="I10" s="11">
        <f>_xlfn.STDEV.S(E6:E35)</f>
        <v>7.7072886834849204</v>
      </c>
      <c r="J10" s="12" t="s">
        <v>22</v>
      </c>
    </row>
    <row r="11" spans="1:10" x14ac:dyDescent="0.25">
      <c r="D11" s="6">
        <v>6</v>
      </c>
      <c r="E11" s="6">
        <v>73</v>
      </c>
      <c r="F11" s="14" t="str">
        <f t="shared" si="0"/>
        <v>FAIL</v>
      </c>
      <c r="G11"/>
      <c r="H11" s="10" t="s">
        <v>18</v>
      </c>
      <c r="I11" s="13">
        <f>COUNTIF(F6:F35,"PASS")</f>
        <v>20</v>
      </c>
      <c r="J11" s="12" t="s">
        <v>23</v>
      </c>
    </row>
    <row r="12" spans="1:10" x14ac:dyDescent="0.25">
      <c r="D12" s="6">
        <v>7</v>
      </c>
      <c r="E12" s="6">
        <v>95</v>
      </c>
      <c r="F12" s="14" t="str">
        <f t="shared" si="0"/>
        <v>PASS</v>
      </c>
      <c r="G12"/>
      <c r="H12" s="10" t="s">
        <v>19</v>
      </c>
      <c r="I12" s="13">
        <f>COUNTIF(F6:F35,"FAIL")</f>
        <v>10</v>
      </c>
      <c r="J12" s="12" t="s">
        <v>23</v>
      </c>
    </row>
    <row r="13" spans="1:10" x14ac:dyDescent="0.25">
      <c r="D13" s="6">
        <v>8</v>
      </c>
      <c r="E13" s="6">
        <v>80</v>
      </c>
      <c r="F13" s="14" t="str">
        <f t="shared" si="0"/>
        <v>PASS</v>
      </c>
      <c r="G13"/>
      <c r="H13"/>
      <c r="I13"/>
    </row>
    <row r="14" spans="1:10" x14ac:dyDescent="0.25">
      <c r="D14" s="6">
        <v>9</v>
      </c>
      <c r="E14" s="6">
        <v>88</v>
      </c>
      <c r="F14" s="14" t="str">
        <f t="shared" si="0"/>
        <v>PASS</v>
      </c>
      <c r="G14"/>
      <c r="H14"/>
      <c r="I14"/>
    </row>
    <row r="15" spans="1:10" x14ac:dyDescent="0.25">
      <c r="D15" s="6">
        <v>10</v>
      </c>
      <c r="E15" s="6">
        <v>77</v>
      </c>
      <c r="F15" s="14" t="str">
        <f t="shared" si="0"/>
        <v>FAIL</v>
      </c>
      <c r="G15"/>
      <c r="H15"/>
      <c r="I15"/>
    </row>
    <row r="16" spans="1:10" x14ac:dyDescent="0.25">
      <c r="D16" s="6">
        <v>11</v>
      </c>
      <c r="E16" s="6">
        <v>83</v>
      </c>
      <c r="F16" s="14" t="str">
        <f t="shared" si="0"/>
        <v>PASS</v>
      </c>
      <c r="G16"/>
      <c r="H16"/>
      <c r="I16"/>
    </row>
    <row r="17" spans="4:9" x14ac:dyDescent="0.25">
      <c r="D17" s="6">
        <v>12</v>
      </c>
      <c r="E17" s="6">
        <v>92</v>
      </c>
      <c r="F17" s="14" t="str">
        <f t="shared" si="0"/>
        <v>PASS</v>
      </c>
      <c r="G17"/>
      <c r="H17"/>
      <c r="I17"/>
    </row>
    <row r="18" spans="4:9" x14ac:dyDescent="0.25">
      <c r="D18" s="6">
        <v>13</v>
      </c>
      <c r="E18" s="6">
        <v>82</v>
      </c>
      <c r="F18" s="14" t="str">
        <f t="shared" si="0"/>
        <v>PASS</v>
      </c>
      <c r="G18"/>
      <c r="H18"/>
      <c r="I18"/>
    </row>
    <row r="19" spans="4:9" x14ac:dyDescent="0.25">
      <c r="D19" s="6">
        <v>14</v>
      </c>
      <c r="E19" s="6">
        <v>86</v>
      </c>
      <c r="F19" s="14" t="str">
        <f t="shared" si="0"/>
        <v>PASS</v>
      </c>
      <c r="G19"/>
      <c r="H19"/>
      <c r="I19"/>
    </row>
    <row r="20" spans="4:9" x14ac:dyDescent="0.25">
      <c r="D20" s="6">
        <v>15</v>
      </c>
      <c r="E20" s="6">
        <v>74</v>
      </c>
      <c r="F20" s="14" t="str">
        <f t="shared" si="0"/>
        <v>FAIL</v>
      </c>
      <c r="G20"/>
      <c r="H20"/>
      <c r="I20"/>
    </row>
    <row r="21" spans="4:9" x14ac:dyDescent="0.25">
      <c r="D21" s="6">
        <v>16</v>
      </c>
      <c r="E21" s="6">
        <v>81</v>
      </c>
      <c r="F21" s="14" t="str">
        <f t="shared" si="0"/>
        <v>PASS</v>
      </c>
      <c r="G21"/>
      <c r="H21"/>
      <c r="I21"/>
    </row>
    <row r="22" spans="4:9" x14ac:dyDescent="0.25">
      <c r="D22" s="6">
        <v>17</v>
      </c>
      <c r="E22" s="6">
        <v>89</v>
      </c>
      <c r="F22" s="14" t="str">
        <f t="shared" si="0"/>
        <v>PASS</v>
      </c>
      <c r="G22"/>
      <c r="H22"/>
      <c r="I22"/>
    </row>
    <row r="23" spans="4:9" x14ac:dyDescent="0.25">
      <c r="D23" s="6">
        <v>18</v>
      </c>
      <c r="E23" s="6">
        <v>84</v>
      </c>
      <c r="F23" s="14" t="str">
        <f t="shared" si="0"/>
        <v>PASS</v>
      </c>
      <c r="G23"/>
      <c r="H23"/>
      <c r="I23"/>
    </row>
    <row r="24" spans="4:9" x14ac:dyDescent="0.25">
      <c r="D24" s="6">
        <v>19</v>
      </c>
      <c r="E24" s="6">
        <v>72</v>
      </c>
      <c r="F24" s="14" t="str">
        <f t="shared" si="0"/>
        <v>FAIL</v>
      </c>
      <c r="G24"/>
      <c r="H24"/>
      <c r="I24"/>
    </row>
    <row r="25" spans="4:9" x14ac:dyDescent="0.25">
      <c r="D25" s="6">
        <v>20</v>
      </c>
      <c r="E25" s="6">
        <v>90</v>
      </c>
      <c r="F25" s="14" t="str">
        <f t="shared" si="0"/>
        <v>PASS</v>
      </c>
      <c r="G25"/>
      <c r="H25"/>
      <c r="I25"/>
    </row>
    <row r="26" spans="4:9" x14ac:dyDescent="0.25">
      <c r="D26" s="6">
        <v>21</v>
      </c>
      <c r="E26" s="6">
        <v>78</v>
      </c>
      <c r="F26" s="14" t="str">
        <f t="shared" si="0"/>
        <v>FAIL</v>
      </c>
      <c r="G26"/>
      <c r="H26"/>
      <c r="I26"/>
    </row>
    <row r="27" spans="4:9" x14ac:dyDescent="0.25">
      <c r="D27" s="6">
        <v>22</v>
      </c>
      <c r="E27" s="6">
        <v>87</v>
      </c>
      <c r="F27" s="14" t="str">
        <f t="shared" si="0"/>
        <v>PASS</v>
      </c>
      <c r="G27"/>
      <c r="H27"/>
      <c r="I27"/>
    </row>
    <row r="28" spans="4:9" x14ac:dyDescent="0.25">
      <c r="D28" s="6">
        <v>23</v>
      </c>
      <c r="E28" s="6">
        <v>76</v>
      </c>
      <c r="F28" s="14" t="str">
        <f t="shared" si="0"/>
        <v>FAIL</v>
      </c>
      <c r="G28"/>
      <c r="H28"/>
      <c r="I28"/>
    </row>
    <row r="29" spans="4:9" x14ac:dyDescent="0.25">
      <c r="D29" s="6">
        <v>24</v>
      </c>
      <c r="E29" s="6">
        <v>93</v>
      </c>
      <c r="F29" s="14" t="str">
        <f t="shared" si="0"/>
        <v>PASS</v>
      </c>
      <c r="G29"/>
      <c r="H29"/>
      <c r="I29"/>
    </row>
    <row r="30" spans="4:9" x14ac:dyDescent="0.25">
      <c r="D30" s="6">
        <v>25</v>
      </c>
      <c r="E30" s="6">
        <v>82</v>
      </c>
      <c r="F30" s="14" t="str">
        <f t="shared" si="0"/>
        <v>PASS</v>
      </c>
      <c r="G30"/>
      <c r="H30"/>
      <c r="I30"/>
    </row>
    <row r="31" spans="4:9" x14ac:dyDescent="0.25">
      <c r="D31" s="6">
        <v>26</v>
      </c>
      <c r="E31" s="6">
        <v>69</v>
      </c>
      <c r="F31" s="14" t="str">
        <f t="shared" si="0"/>
        <v>FAIL</v>
      </c>
    </row>
    <row r="32" spans="4:9" x14ac:dyDescent="0.25">
      <c r="D32" s="6">
        <v>27</v>
      </c>
      <c r="E32" s="6">
        <v>85</v>
      </c>
      <c r="F32" s="14" t="str">
        <f t="shared" si="0"/>
        <v>PASS</v>
      </c>
    </row>
    <row r="33" spans="4:6" x14ac:dyDescent="0.25">
      <c r="D33" s="6">
        <v>28</v>
      </c>
      <c r="E33" s="6">
        <v>88</v>
      </c>
      <c r="F33" s="14" t="str">
        <f t="shared" si="0"/>
        <v>PASS</v>
      </c>
    </row>
    <row r="34" spans="4:6" x14ac:dyDescent="0.25">
      <c r="D34" s="6">
        <v>29</v>
      </c>
      <c r="E34" s="6">
        <v>71</v>
      </c>
      <c r="F34" s="14" t="str">
        <f t="shared" si="0"/>
        <v>FAIL</v>
      </c>
    </row>
    <row r="35" spans="4:6" x14ac:dyDescent="0.25">
      <c r="D35" s="6">
        <v>30</v>
      </c>
      <c r="E35" s="6">
        <v>94</v>
      </c>
      <c r="F35" s="14" t="str">
        <f t="shared" si="0"/>
        <v>PASS</v>
      </c>
    </row>
  </sheetData>
  <hyperlinks>
    <hyperlink ref="B6" r:id="rId1" xr:uid="{10C7ED9E-B055-4A34-B53E-AB9793D2192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Seymour, Lauren Elisabeth</cp:lastModifiedBy>
  <dcterms:created xsi:type="dcterms:W3CDTF">2026-02-26T17:40:38Z</dcterms:created>
  <dcterms:modified xsi:type="dcterms:W3CDTF">2026-03-05T20:53:22Z</dcterms:modified>
</cp:coreProperties>
</file>