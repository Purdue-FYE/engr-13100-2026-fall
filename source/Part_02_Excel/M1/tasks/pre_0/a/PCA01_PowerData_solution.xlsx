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"/>
    </mc:Choice>
  </mc:AlternateContent>
  <xr:revisionPtr revIDLastSave="0" documentId="13_ncr:1_{23658186-2F2D-4ED4-8465-0D1483549905}" xr6:coauthVersionLast="47" xr6:coauthVersionMax="47" xr10:uidLastSave="{00000000-0000-0000-0000-000000000000}"/>
  <bookViews>
    <workbookView xWindow="33720" yWindow="-120" windowWidth="29040" windowHeight="1572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9" i="1"/>
  <c r="H30" i="1"/>
  <c r="H24" i="1"/>
  <c r="G25" i="1"/>
  <c r="G26" i="1"/>
  <c r="G27" i="1"/>
  <c r="G28" i="1"/>
  <c r="G29" i="1"/>
  <c r="G30" i="1"/>
  <c r="G24" i="1"/>
  <c r="F20" i="1"/>
  <c r="F19" i="1"/>
  <c r="F18" i="1"/>
  <c r="F17" i="1"/>
  <c r="F16" i="1"/>
  <c r="F25" i="1"/>
  <c r="F26" i="1"/>
  <c r="F27" i="1"/>
  <c r="F28" i="1"/>
  <c r="F29" i="1"/>
  <c r="F30" i="1"/>
  <c r="F24" i="1"/>
</calcChain>
</file>

<file path=xl/sharedStrings.xml><?xml version="1.0" encoding="utf-8"?>
<sst xmlns="http://schemas.openxmlformats.org/spreadsheetml/2006/main" count="37" uniqueCount="28">
  <si>
    <t>ENGR 131</t>
  </si>
  <si>
    <t xml:space="preserve">Assignment: </t>
  </si>
  <si>
    <t xml:space="preserve">Author: </t>
  </si>
  <si>
    <t>Email</t>
  </si>
  <si>
    <t>login@purdue.edu</t>
  </si>
  <si>
    <t>PCA01</t>
  </si>
  <si>
    <t>Laboratory Power Usage Data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</si>
  <si>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</si>
  <si>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</si>
  <si>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</si>
  <si>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</si>
  <si>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</si>
  <si>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</si>
  <si>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</si>
  <si>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</si>
  <si>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Summary Calculations</t>
  </si>
  <si>
    <t xml:space="preserve">Total Energy (kWh): </t>
  </si>
  <si>
    <t>Average Energy (kWh):</t>
  </si>
  <si>
    <t>Maximum Energy (kWh):</t>
  </si>
  <si>
    <t>Minimum Energy (kWh):</t>
  </si>
  <si>
    <t>Number of Days:</t>
  </si>
  <si>
    <t>Energy Conversion</t>
  </si>
  <si>
    <t>Performance Adjustment Factor</t>
  </si>
  <si>
    <t>SOLUTION</t>
  </si>
  <si>
    <t>* can use either column F or E for count</t>
  </si>
  <si>
    <t>Energy Usage (kWh)</t>
  </si>
  <si>
    <t>Adjusted Energy Usage (kWh)</t>
  </si>
  <si>
    <t>Energy Usage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</si>
</sst>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  <font>
      <b/>
      <sz val="12"/>
      <color rgb="FFC00000"/>
      <name val="Aptos Display"/>
      <family val="2"/>
      <scheme val="major"/>
    </font>
    <font>
      <sz val="12"/>
      <color rgb="FFC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6" fillId="0" borderId="2" xfId="0" applyFont="1" applyBorder="1"/>
    <xf numFmtId="0" fontId="5" fillId="3" borderId="1" xfId="0" applyFont="1" applyFill="1" applyBorder="1"/>
    <xf numFmtId="0" fontId="5" fillId="3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" fillId="3" borderId="6" xfId="0" applyFont="1" applyFill="1" applyBorder="1" applyAlignment="1">
      <alignment horizontal="center"/>
    </xf>
    <xf numFmtId="1" fontId="6" fillId="0" borderId="2" xfId="0" applyNumberFormat="1" applyFont="1" applyBorder="1"/>
    <xf numFmtId="0" fontId="6" fillId="0" borderId="6" xfId="0" applyFont="1" applyBorder="1"/>
    <xf numFmtId="0" fontId="6" fillId="0" borderId="8" xfId="0" applyFont="1" applyBorder="1"/>
    <xf numFmtId="0" fontId="6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Laboratory Power</a:t>
            </a:r>
            <a:r>
              <a:rPr lang="en-US" baseline="0"/>
              <a:t> Usage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Adjusted Energy Usage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Sheet1!$E$24:$E$30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Sheet1!$H$24:$H$30</c:f>
              <c:numCache>
                <c:formatCode>General</c:formatCode>
                <c:ptCount val="7"/>
                <c:pt idx="0">
                  <c:v>129.60000000000002</c:v>
                </c:pt>
                <c:pt idx="1">
                  <c:v>145.80000000000001</c:v>
                </c:pt>
                <c:pt idx="2">
                  <c:v>138.24</c:v>
                </c:pt>
                <c:pt idx="3">
                  <c:v>153.36000000000001</c:v>
                </c:pt>
                <c:pt idx="4">
                  <c:v>124.2</c:v>
                </c:pt>
                <c:pt idx="5">
                  <c:v>105.84</c:v>
                </c:pt>
                <c:pt idx="6">
                  <c:v>120.96000000000001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3-4284-9390-97EAC3F4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377887"/>
        <c:axId val="1995376927"/>
      </c:barChart>
      <c:catAx>
        <c:axId val="199537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6927"/>
        <c:crosses val="autoZero"/>
        <c:auto val="1"/>
        <c:lblAlgn val="ctr"/>
        <c:lblOffset val="100"/>
        <c:noMultiLvlLbl val="0"/>
      </c:catAx>
      <c:valAx>
        <c:axId val="19953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Adjusted Energy Usage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Laboratory Power Usage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Adjusted Energy Usage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Sheet1!$E$24:$E$30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Sheet1!$H$24:$H$30</c:f>
              <c:numCache>
                <c:formatCode>General</c:formatCode>
                <c:ptCount val="7"/>
                <c:pt idx="0">
                  <c:v>129.60000000000002</c:v>
                </c:pt>
                <c:pt idx="1">
                  <c:v>145.80000000000001</c:v>
                </c:pt>
                <c:pt idx="2">
                  <c:v>138.24</c:v>
                </c:pt>
                <c:pt idx="3">
                  <c:v>153.36000000000001</c:v>
                </c:pt>
                <c:pt idx="4">
                  <c:v>124.2</c:v>
                </c:pt>
                <c:pt idx="5">
                  <c:v>105.84</c:v>
                </c:pt>
                <c:pt idx="6">
                  <c:v>120.96000000000001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A-4DF8-BDE5-DDB9A8DD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00543"/>
        <c:axId val="2012399103"/>
      </c:lineChart>
      <c:catAx>
        <c:axId val="201240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99103"/>
        <c:crosses val="autoZero"/>
        <c:auto val="1"/>
        <c:lblAlgn val="ctr"/>
        <c:lblOffset val="100"/>
        <c:noMultiLvlLbl val="0"/>
      </c:catAx>
      <c:valAx>
        <c:axId val="2012399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Adjusted Energy Usage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473075</xdr:colOff>
      <xdr:row>5</xdr:row>
      <xdr:rowOff>120650</xdr:rowOff>
    </xdr:from>
    <xdr:to>
      <xdr:col>14</xdr:col>
      <xdr:colOff>561975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F9BF2-50DF-F637-7FCC-5FF02CFD0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484187</xdr:colOff>
      <xdr:row>20</xdr:row>
      <xdr:rowOff>120650</xdr:rowOff>
    </xdr:from>
    <xdr:to>
      <xdr:col>14</xdr:col>
      <xdr:colOff>655637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6A0C4-9C53-6705-88EC-F6922C64C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sheetPr>
    <pageSetUpPr fitToPage="1"/>
  </sheetPr>
  <dimension ref="A2:H30"/>
  <sheetViews>
    <sheetView tabSelected="1" workbookViewId="0">
      <selection activeCell="R7" sqref="R7"/>
    </sheetView>
  </sheetViews>
  <sheetFormatPr defaultColWidth="8.84375" defaultRowHeight="16" x14ac:dyDescent="0.4"/>
  <cols>
    <col min="1" max="1" width="14" style="2" customWidth="1"/>
    <col min="2" max="4" width="8.84375" style="2"/>
    <col min="5" max="5" width="19.53515625" style="2" customWidth="1"/>
    <col min="6" max="6" width="18.61328125" style="2" customWidth="1"/>
    <col min="7" max="7" width="14.3046875" style="2" customWidth="1"/>
    <col min="8" max="8" width="25.69140625" style="2" customWidth="1"/>
    <col min="9" max="16384" width="8.84375" style="2"/>
  </cols>
  <sheetData>
    <row r="2" spans="1:8" x14ac:dyDescent="0.4">
      <c r="A2" s="1" t="s">
        <v>0</v>
      </c>
    </row>
    <row r="4" spans="1:8" x14ac:dyDescent="0.4">
      <c r="A4" s="3" t="s">
        <v>1</v>
      </c>
      <c r="B4" s="2" t="s">
        <v>5</v>
      </c>
      <c r="E4" s="1" t="s">
        <v>6</v>
      </c>
    </row>
    <row r="5" spans="1:8" x14ac:dyDescent="0.4">
      <c r="A5" s="3" t="s">
        <v>2</v>
      </c>
      <c r="B5" s="18" t="s">
        <v>23</v>
      </c>
    </row>
    <row r="6" spans="1:8" x14ac:dyDescent="0.4">
      <c r="A6" s="3" t="s">
        <v>3</v>
      </c>
      <c r="B6" s="4" t="s">
        <v>4</v>
      </c>
      <c r="E6" s="20" t="s">
        <v>7</v>
      </c>
      <c r="F6" s="21" t="s">
        <v>25</v>
      </c>
      <c r="H6" s="16" t="s">
        <v>22</v>
      </c>
    </row>
    <row r="7" spans="1:8" x14ac:dyDescent="0.4">
      <c r="E7" s="11" t="s">
        <v>8</v>
      </c>
      <c r="F7" s="8">
        <v>120</v>
      </c>
      <c r="H7" s="17">
        <v>1.08</v>
      </c>
    </row>
    <row r="8" spans="1:8" x14ac:dyDescent="0.4">
      <c r="E8" s="12" t="s">
        <v>9</v>
      </c>
      <c r="F8" s="9">
        <v>135</v>
      </c>
    </row>
    <row r="9" spans="1:8" x14ac:dyDescent="0.4">
      <c r="E9" s="12" t="s">
        <v>10</v>
      </c>
      <c r="F9" s="9">
        <v>128</v>
      </c>
    </row>
    <row r="10" spans="1:8" x14ac:dyDescent="0.4">
      <c r="E10" s="12" t="s">
        <v>11</v>
      </c>
      <c r="F10" s="9">
        <v>142</v>
      </c>
    </row>
    <row r="11" spans="1:8" x14ac:dyDescent="0.4">
      <c r="E11" s="12" t="s">
        <v>12</v>
      </c>
      <c r="F11" s="9">
        <v>115</v>
      </c>
    </row>
    <row r="12" spans="1:8" x14ac:dyDescent="0.4">
      <c r="E12" s="12" t="s">
        <v>13</v>
      </c>
      <c r="F12" s="9">
        <v>98</v>
      </c>
    </row>
    <row r="13" spans="1:8" x14ac:dyDescent="0.4">
      <c r="E13" s="13" t="s">
        <v>14</v>
      </c>
      <c r="F13" s="10">
        <v>112</v>
      </c>
    </row>
    <row r="15" spans="1:8" x14ac:dyDescent="0.4">
      <c r="E15" s="1" t="s">
        <v>15</v>
      </c>
    </row>
    <row r="16" spans="1:8" x14ac:dyDescent="0.4">
      <c r="E16" s="5" t="s">
        <v>16</v>
      </c>
      <c r="F16" s="19">
        <f>SUM(F7:F13)</f>
        <v>850</v>
      </c>
    </row>
    <row r="17" spans="5:8" x14ac:dyDescent="0.4">
      <c r="E17" s="6" t="s">
        <v>17</v>
      </c>
      <c r="F17" s="22">
        <f>AVERAGE(F7:F13)</f>
        <v>121.42857142857143</v>
      </c>
    </row>
    <row r="18" spans="5:8" x14ac:dyDescent="0.4">
      <c r="E18" s="6" t="s">
        <v>18</v>
      </c>
      <c r="F18" s="22">
        <f>MAX(F7:F13)</f>
        <v>142</v>
      </c>
    </row>
    <row r="19" spans="5:8" x14ac:dyDescent="0.4">
      <c r="E19" s="6" t="s">
        <v>19</v>
      </c>
      <c r="F19" s="22">
        <f>MIN(F7:F13)</f>
        <v>98</v>
      </c>
    </row>
    <row r="20" spans="5:8" x14ac:dyDescent="0.4">
      <c r="E20" s="7" t="s">
        <v>20</v>
      </c>
      <c r="F20" s="23">
        <f>COUNT(F7:F13)</f>
        <v>7</v>
      </c>
      <c r="G20" s="2" t="s">
        <v>24</v>
      </c>
    </row>
    <row r="22" spans="5:8" x14ac:dyDescent="0.4">
      <c r="E22" s="1" t="s">
        <v>21</v>
      </c>
    </row>
    <row r="23" spans="5:8" x14ac:dyDescent="0.4">
      <c r="E23" s="14" t="s">
        <v>7</v>
      </c>
      <c r="F23" s="15" t="s">
        <v>25</v>
      </c>
      <c r="G23" s="15" t="s">
        <v>27</v>
      </c>
      <c r="H23" s="24" t="s">
        <v>26</v>
      </c>
    </row>
    <row r="24" spans="5:8" x14ac:dyDescent="0.4">
      <c r="E24" s="11" t="s">
        <v>8</v>
      </c>
      <c r="F24" s="8">
        <f>F7</f>
        <v>120</v>
      </c>
      <c r="G24" s="25">
        <f>CONVERT(F24,"kWh","J")</f>
        <v>432000000</v>
      </c>
      <c r="H24" s="26">
        <f>F24*$H$7</f>
        <v>129.60000000000002</v>
      </c>
    </row>
    <row r="25" spans="5:8" x14ac:dyDescent="0.4">
      <c r="E25" s="12" t="s">
        <v>9</v>
      </c>
      <c r="F25" s="9">
        <f t="shared" ref="F25:F30" si="0">F8</f>
        <v>135</v>
      </c>
      <c r="G25" s="22">
        <f t="shared" ref="G25:G30" si="1">CONVERT(F25,"kWh","J")</f>
        <v>486000000</v>
      </c>
      <c r="H25" s="27">
        <f t="shared" ref="H25:H30" si="2">F25*$H$7</f>
        <v>145.80000000000001</v>
      </c>
    </row>
    <row r="26" spans="5:8" x14ac:dyDescent="0.4">
      <c r="E26" s="12" t="s">
        <v>10</v>
      </c>
      <c r="F26" s="9">
        <f t="shared" si="0"/>
        <v>128</v>
      </c>
      <c r="G26" s="22">
        <f t="shared" si="1"/>
        <v>460800000</v>
      </c>
      <c r="H26" s="27">
        <f t="shared" si="2"/>
        <v>138.24</v>
      </c>
    </row>
    <row r="27" spans="5:8" x14ac:dyDescent="0.4">
      <c r="E27" s="12" t="s">
        <v>11</v>
      </c>
      <c r="F27" s="9">
        <f t="shared" si="0"/>
        <v>142</v>
      </c>
      <c r="G27" s="22">
        <f t="shared" si="1"/>
        <v>511200000</v>
      </c>
      <c r="H27" s="27">
        <f t="shared" si="2"/>
        <v>153.36000000000001</v>
      </c>
    </row>
    <row r="28" spans="5:8" x14ac:dyDescent="0.4">
      <c r="E28" s="12" t="s">
        <v>12</v>
      </c>
      <c r="F28" s="9">
        <f t="shared" si="0"/>
        <v>115</v>
      </c>
      <c r="G28" s="22">
        <f t="shared" si="1"/>
        <v>414000000</v>
      </c>
      <c r="H28" s="27">
        <f t="shared" si="2"/>
        <v>124.2</v>
      </c>
    </row>
    <row r="29" spans="5:8" x14ac:dyDescent="0.4">
      <c r="E29" s="12" t="s">
        <v>13</v>
      </c>
      <c r="F29" s="9">
        <f t="shared" si="0"/>
        <v>98</v>
      </c>
      <c r="G29" s="22">
        <f t="shared" si="1"/>
        <v>352800000</v>
      </c>
      <c r="H29" s="27">
        <f t="shared" si="2"/>
        <v>105.84</v>
      </c>
    </row>
    <row r="30" spans="5:8" x14ac:dyDescent="0.4">
      <c r="E30" s="13" t="s">
        <v>14</v>
      </c>
      <c r="F30" s="10">
        <f t="shared" si="0"/>
        <v>112</v>
      </c>
      <c r="G30" s="23">
        <f t="shared" si="1"/>
        <v>403200000</v>
      </c>
      <c r="H30" s="28">
        <f t="shared" si="2"/>
        <v>120.96000000000001</v>
      </c>
    </row>
  </sheetData>
  <hyperlinks>
    <hyperlink ref="B6" r:id="rId1" xr:uid="{10C7ED9E-B055-4A34-B53E-AB9793D21924}"/>
  </hyperlinks>
  <pageMargins left="0.7" right="0.7" top="0.75" bottom="0.75" header="0.3" footer="0.3"/>
  <pageSetup scale="6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cp:lastPrinted>2026-03-02T22:02:42Z</cp:lastPrinted>
  <dcterms:created xsi:type="dcterms:W3CDTF">2026-02-26T17:40:38Z</dcterms:created>
  <dcterms:modified xsi:type="dcterms:W3CDTF">2026-03-02T22:04:33Z</dcterms:modified>
</cp:coreProperties>
</file>