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ersonal\Downloads\"/>
    </mc:Choice>
  </mc:AlternateContent>
  <xr:revisionPtr revIDLastSave="0" documentId="8_{F2E1E4E2-ADD8-4DE9-888A-B76CCE59D8AE}" xr6:coauthVersionLast="47" xr6:coauthVersionMax="47" xr10:uidLastSave="{00000000-0000-0000-0000-000000000000}"/>
  <bookViews>
    <workbookView xWindow="-16320" yWindow="-2895" windowWidth="16440" windowHeight="28320" xr2:uid="{DEDA1C8B-1553-4801-B352-B17DEFC5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25" i="1"/>
  <c r="F26" i="1"/>
  <c r="F27" i="1"/>
  <c r="F28" i="1"/>
  <c r="F29" i="1"/>
  <c r="F30" i="1"/>
  <c r="F24" i="1"/>
</calcChain>
</file>

<file path=xl/sharedStrings.xml><?xml version="1.0" encoding="utf-8"?>
<sst xmlns="http://schemas.openxmlformats.org/spreadsheetml/2006/main" count="36" uniqueCount="29">
  <si>
    <t>ENGR 131</t>
  </si>
  <si>
    <t xml:space="preserve">Assignment: </t>
  </si>
  <si>
    <t xml:space="preserve">Author: </t>
  </si>
  <si>
    <t>Email</t>
  </si>
  <si>
    <t>login@purdue.edu</t>
  </si>
  <si>
    <t>Student Name</t>
  </si>
  <si>
    <t>PCA01</t>
  </si>
  <si>
    <t>Laboratory Power Usage Data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</si>
  <si>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</si>
  <si>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</si>
  <si>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</si>
  <si>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</si>
  <si>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</si>
  <si>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</si>
  <si>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</si>
  <si>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</si>
  <si>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Summary Calculations</t>
  </si>
  <si>
    <t xml:space="preserve">Total Energy (kWh): </t>
  </si>
  <si>
    <t>Average Energy (kWh):</t>
  </si>
  <si>
    <t>Maximum Energy (kWh):</t>
  </si>
  <si>
    <t>Minimum Energy (kWh):</t>
  </si>
  <si>
    <t>Number of Days:</t>
  </si>
  <si>
    <t>header</t>
  </si>
  <si>
    <t>header2</t>
  </si>
  <si>
    <t>Energy Conversion</t>
  </si>
  <si>
    <t>Energy (kWh)</t>
  </si>
  <si>
    <t>Energy (J)</t>
  </si>
  <si>
    <t>Performance Adjustment Factor</t>
  </si>
  <si>
    <t>Adjusted Energy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</si>
</sst>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u/>
      <sz val="12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1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2" borderId="5" xfId="0" applyFont="1" applyFill="1" applyBorder="1"/>
    <xf numFmtId="0" fontId="2" fillId="0" borderId="6" xfId="0" applyFont="1" applyBorder="1"/>
    <xf numFmtId="0" fontId="2" fillId="2" borderId="7" xfId="0" applyFont="1" applyFill="1" applyBorder="1"/>
    <xf numFmtId="0" fontId="2" fillId="0" borderId="8" xfId="0" applyFont="1" applyBorder="1"/>
    <xf numFmtId="0" fontId="2" fillId="2" borderId="9" xfId="0" applyFont="1" applyFill="1" applyBorder="1"/>
    <xf numFmtId="0" fontId="2" fillId="0" borderId="10" xfId="0" applyFont="1" applyBorder="1"/>
    <xf numFmtId="0" fontId="1" fillId="3" borderId="1" xfId="0" applyFont="1" applyFill="1" applyBorder="1"/>
    <xf numFmtId="0" fontId="2" fillId="2" borderId="6" xfId="0" applyFont="1" applyFill="1" applyBorder="1"/>
    <xf numFmtId="0" fontId="2" fillId="2" borderId="8" xfId="0" applyFont="1" applyFill="1" applyBorder="1"/>
    <xf numFmtId="0" fontId="2" fillId="0" borderId="11" xfId="0" applyFont="1" applyBorder="1"/>
    <xf numFmtId="0" fontId="1" fillId="3" borderId="10" xfId="0" applyFont="1" applyFill="1" applyBorder="1"/>
    <xf numFmtId="0" fontId="1" fillId="3" borderId="9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solid">
          <fgColor indexed="64"/>
          <bgColor theme="2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major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B6826-DC59-4750-922B-68A3BFDBA1BB}" name="Table1" displayName="Table1" ref="E6:F13" totalsRowShown="0" headerRowDxfId="4" headerRowBorderDxfId="3" tableBorderDxfId="2">
  <tableColumns count="2">
    <tableColumn id="1" xr3:uid="{D4A9AFA8-4B39-4201-A9CE-DB6B0C5ADA58}" name="header" dataDxfId="1"/>
    <tableColumn id="2" xr3:uid="{DC320AFE-0C9C-46C6-BA36-7056BA730529}" name="header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dimension ref="A2:H30"/>
  <sheetViews>
    <sheetView tabSelected="1" workbookViewId="0">
      <selection activeCell="F21" sqref="F21"/>
    </sheetView>
  </sheetViews>
  <sheetFormatPr defaultColWidth="8.88671875" defaultRowHeight="15.75" x14ac:dyDescent="0.25"/>
  <cols>
    <col min="1" max="1" width="14" style="2" customWidth="1"/>
    <col min="2" max="4" width="8.88671875" style="2"/>
    <col min="5" max="5" width="19.5546875" style="2" customWidth="1"/>
    <col min="6" max="7" width="14.33203125" style="2" customWidth="1"/>
    <col min="8" max="8" width="27.109375" style="2" customWidth="1"/>
    <col min="9" max="16384" width="8.88671875" style="2"/>
  </cols>
  <sheetData>
    <row r="2" spans="1:8" x14ac:dyDescent="0.25">
      <c r="A2" s="1" t="s">
        <v>0</v>
      </c>
    </row>
    <row r="4" spans="1:8" x14ac:dyDescent="0.25">
      <c r="A4" s="3" t="s">
        <v>1</v>
      </c>
      <c r="B4" s="2" t="s">
        <v>6</v>
      </c>
      <c r="E4" s="1" t="s">
        <v>7</v>
      </c>
    </row>
    <row r="5" spans="1:8" x14ac:dyDescent="0.25">
      <c r="A5" s="3" t="s">
        <v>2</v>
      </c>
      <c r="B5" s="2" t="s">
        <v>5</v>
      </c>
    </row>
    <row r="6" spans="1:8" x14ac:dyDescent="0.25">
      <c r="A6" s="3" t="s">
        <v>3</v>
      </c>
      <c r="B6" s="4" t="s">
        <v>4</v>
      </c>
      <c r="E6" s="22" t="s">
        <v>22</v>
      </c>
      <c r="F6" s="23" t="s">
        <v>23</v>
      </c>
      <c r="H6" s="26" t="s">
        <v>27</v>
      </c>
    </row>
    <row r="7" spans="1:8" x14ac:dyDescent="0.25">
      <c r="E7" s="19" t="s">
        <v>9</v>
      </c>
      <c r="F7" s="21">
        <v>120</v>
      </c>
      <c r="H7" s="27">
        <v>1.08</v>
      </c>
    </row>
    <row r="8" spans="1:8" x14ac:dyDescent="0.25">
      <c r="E8" s="20" t="s">
        <v>10</v>
      </c>
      <c r="F8" s="11">
        <v>135</v>
      </c>
    </row>
    <row r="9" spans="1:8" x14ac:dyDescent="0.25">
      <c r="E9" s="20" t="s">
        <v>11</v>
      </c>
      <c r="F9" s="11">
        <v>128</v>
      </c>
    </row>
    <row r="10" spans="1:8" x14ac:dyDescent="0.25">
      <c r="E10" s="20" t="s">
        <v>12</v>
      </c>
      <c r="F10" s="11">
        <v>142</v>
      </c>
    </row>
    <row r="11" spans="1:8" x14ac:dyDescent="0.25">
      <c r="E11" s="20" t="s">
        <v>13</v>
      </c>
      <c r="F11" s="11">
        <v>115</v>
      </c>
    </row>
    <row r="12" spans="1:8" x14ac:dyDescent="0.25">
      <c r="E12" s="20" t="s">
        <v>14</v>
      </c>
      <c r="F12" s="11">
        <v>98</v>
      </c>
    </row>
    <row r="13" spans="1:8" x14ac:dyDescent="0.25">
      <c r="E13" s="20" t="s">
        <v>15</v>
      </c>
      <c r="F13" s="11">
        <v>112</v>
      </c>
    </row>
    <row r="15" spans="1:8" x14ac:dyDescent="0.25">
      <c r="E15" s="1" t="s">
        <v>16</v>
      </c>
    </row>
    <row r="16" spans="1:8" x14ac:dyDescent="0.25">
      <c r="E16" s="5" t="s">
        <v>17</v>
      </c>
      <c r="F16" s="8">
        <f>SUM(Table1[header2])</f>
        <v>850</v>
      </c>
    </row>
    <row r="17" spans="5:8" x14ac:dyDescent="0.25">
      <c r="E17" s="6" t="s">
        <v>18</v>
      </c>
      <c r="F17" s="9">
        <f>AVERAGE(Table1[header2])</f>
        <v>121.42857142857143</v>
      </c>
    </row>
    <row r="18" spans="5:8" x14ac:dyDescent="0.25">
      <c r="E18" s="6" t="s">
        <v>19</v>
      </c>
      <c r="F18" s="9">
        <f>MAX(Table1[header2])</f>
        <v>142</v>
      </c>
    </row>
    <row r="19" spans="5:8" x14ac:dyDescent="0.25">
      <c r="E19" s="6" t="s">
        <v>20</v>
      </c>
      <c r="F19" s="9">
        <f>MIN(Table1[header2])</f>
        <v>98</v>
      </c>
    </row>
    <row r="20" spans="5:8" x14ac:dyDescent="0.25">
      <c r="E20" s="7" t="s">
        <v>21</v>
      </c>
      <c r="F20" s="10">
        <f>COUNT(Table1[header2])</f>
        <v>7</v>
      </c>
    </row>
    <row r="22" spans="5:8" x14ac:dyDescent="0.25">
      <c r="E22" s="1" t="s">
        <v>24</v>
      </c>
    </row>
    <row r="23" spans="5:8" x14ac:dyDescent="0.25">
      <c r="E23" s="18" t="s">
        <v>8</v>
      </c>
      <c r="F23" s="24" t="s">
        <v>25</v>
      </c>
      <c r="G23" s="25" t="s">
        <v>26</v>
      </c>
      <c r="H23" s="25" t="s">
        <v>28</v>
      </c>
    </row>
    <row r="24" spans="5:8" x14ac:dyDescent="0.25">
      <c r="E24" s="12" t="s">
        <v>9</v>
      </c>
      <c r="F24" s="8">
        <f>F7</f>
        <v>120</v>
      </c>
      <c r="G24" s="13"/>
      <c r="H24" s="13"/>
    </row>
    <row r="25" spans="5:8" x14ac:dyDescent="0.25">
      <c r="E25" s="14" t="s">
        <v>10</v>
      </c>
      <c r="F25" s="9">
        <f t="shared" ref="F25:F30" si="0">F8</f>
        <v>135</v>
      </c>
      <c r="G25" s="15"/>
      <c r="H25" s="15"/>
    </row>
    <row r="26" spans="5:8" x14ac:dyDescent="0.25">
      <c r="E26" s="14" t="s">
        <v>11</v>
      </c>
      <c r="F26" s="9">
        <f t="shared" si="0"/>
        <v>128</v>
      </c>
      <c r="G26" s="15"/>
      <c r="H26" s="15"/>
    </row>
    <row r="27" spans="5:8" x14ac:dyDescent="0.25">
      <c r="E27" s="14" t="s">
        <v>12</v>
      </c>
      <c r="F27" s="9">
        <f t="shared" si="0"/>
        <v>142</v>
      </c>
      <c r="G27" s="15"/>
      <c r="H27" s="15"/>
    </row>
    <row r="28" spans="5:8" x14ac:dyDescent="0.25">
      <c r="E28" s="14" t="s">
        <v>13</v>
      </c>
      <c r="F28" s="9">
        <f t="shared" si="0"/>
        <v>115</v>
      </c>
      <c r="G28" s="15"/>
      <c r="H28" s="15"/>
    </row>
    <row r="29" spans="5:8" x14ac:dyDescent="0.25">
      <c r="E29" s="14" t="s">
        <v>14</v>
      </c>
      <c r="F29" s="9">
        <f t="shared" si="0"/>
        <v>98</v>
      </c>
      <c r="G29" s="15"/>
      <c r="H29" s="15"/>
    </row>
    <row r="30" spans="5:8" x14ac:dyDescent="0.25">
      <c r="E30" s="16" t="s">
        <v>15</v>
      </c>
      <c r="F30" s="10">
        <f t="shared" si="0"/>
        <v>112</v>
      </c>
      <c r="G30" s="17"/>
      <c r="H30" s="17"/>
    </row>
  </sheetData>
  <hyperlinks>
    <hyperlink ref="B6" r:id="rId1" xr:uid="{10C7ED9E-B055-4A34-B53E-AB9793D21924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Kory Joseph Pritchett</cp:lastModifiedBy>
  <dcterms:created xsi:type="dcterms:W3CDTF">2026-02-26T17:40:38Z</dcterms:created>
  <dcterms:modified xsi:type="dcterms:W3CDTF">2026-03-03T22:15:09Z</dcterms:modified>
</cp:coreProperties>
</file>