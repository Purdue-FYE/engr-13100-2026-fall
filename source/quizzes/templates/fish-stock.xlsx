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13_ncr:1_{9690D882-78FE-2543-8D44-FC5840C9DE57}" xr6:coauthVersionLast="47" xr6:coauthVersionMax="47" xr10:uidLastSave="{00000000-0000-0000-0000-000000000000}"/>
  <bookViews>
    <workbookView xWindow="1100" yWindow="900" windowWidth="28040" windowHeight="16920" activeTab="1" xr2:uid="{36292B5C-C084-F248-8594-DCF6E7BC4D98}"/>
  </bookViews>
  <sheets>
    <sheet name="Gardner_etAl_2025_data" sheetId="1" r:id="rId1"/>
    <sheet name="Sheet1" sheetId="2" r:id="rId2"/>
  </sheets>
  <definedNames>
    <definedName name="_xlnm._FilterDatabase" localSheetId="0" hidden="1">Gardner_etAl_2025_data!$A$1:$AN$1</definedName>
  </definedNames>
  <calcPr calcId="0"/>
</workbook>
</file>

<file path=xl/sharedStrings.xml><?xml version="1.0" encoding="utf-8"?>
<sst xmlns="http://schemas.openxmlformats.org/spreadsheetml/2006/main" count="54" uniqueCount="41">
  <si>
    <t>year</t>
  </si>
  <si>
    <t>effort</t>
  </si>
  <si>
    <t>noTows</t>
  </si>
  <si>
    <t>meanLgth_age1</t>
  </si>
  <si>
    <t>meanLgth_age2</t>
  </si>
  <si>
    <t>meanLgth_age3</t>
  </si>
  <si>
    <t>age0_cpue</t>
  </si>
  <si>
    <t>age1_cpue</t>
  </si>
  <si>
    <t>age1_biomass</t>
  </si>
  <si>
    <t>age1_female</t>
  </si>
  <si>
    <t>age2_cpue</t>
  </si>
  <si>
    <t>age2_biomass</t>
  </si>
  <si>
    <t>age2_female</t>
  </si>
  <si>
    <t>age3_cpue</t>
  </si>
  <si>
    <t>age3_biomass</t>
  </si>
  <si>
    <t>age3_female</t>
  </si>
  <si>
    <t>SSB_age1</t>
  </si>
  <si>
    <t>SSB_age2</t>
  </si>
  <si>
    <t>SSB_age3</t>
  </si>
  <si>
    <t>SSB0</t>
  </si>
  <si>
    <t>SSB1</t>
  </si>
  <si>
    <t>wal_cpue</t>
  </si>
  <si>
    <t>wal_biomass</t>
  </si>
  <si>
    <t>wal_biomass_age1</t>
  </si>
  <si>
    <t>ale_cpue</t>
  </si>
  <si>
    <t>ale_biomass</t>
  </si>
  <si>
    <t>springSummer_temp_age0</t>
  </si>
  <si>
    <t>springSummer_temp_age1</t>
  </si>
  <si>
    <t>lakelevel_age0</t>
  </si>
  <si>
    <t>lakelevel_age1</t>
  </si>
  <si>
    <t>winterPrior_to_age</t>
  </si>
  <si>
    <t>spawningWinter_age1</t>
  </si>
  <si>
    <t>winterSeverity</t>
  </si>
  <si>
    <t>spawningWinterDays_age1</t>
  </si>
  <si>
    <t>TP_age0</t>
  </si>
  <si>
    <t>TP_age1</t>
  </si>
  <si>
    <t>NAO_age0</t>
  </si>
  <si>
    <t>NAO_age1</t>
  </si>
  <si>
    <t>lnR0S</t>
  </si>
  <si>
    <t>lnR1S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</si>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</sst>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winterSeverity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Sheet1!$B$2:$B$54</c:f>
              <c:numCache>
                <c:formatCode>General</c:formatCode>
                <c:ptCount val="53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16</c:v>
                </c:pt>
                <c:pt idx="5">
                  <c:v>8</c:v>
                </c:pt>
                <c:pt idx="6">
                  <c:v>17</c:v>
                </c:pt>
                <c:pt idx="7">
                  <c:v>23</c:v>
                </c:pt>
                <c:pt idx="8">
                  <c:v>19</c:v>
                </c:pt>
                <c:pt idx="9">
                  <c:v>13</c:v>
                </c:pt>
                <c:pt idx="10">
                  <c:v>9</c:v>
                </c:pt>
                <c:pt idx="11">
                  <c:v>20</c:v>
                </c:pt>
                <c:pt idx="12">
                  <c:v>16</c:v>
                </c:pt>
                <c:pt idx="13">
                  <c:v>10</c:v>
                </c:pt>
                <c:pt idx="14">
                  <c:v>23</c:v>
                </c:pt>
                <c:pt idx="15">
                  <c:v>11</c:v>
                </c:pt>
                <c:pt idx="16">
                  <c:v>22</c:v>
                </c:pt>
                <c:pt idx="17">
                  <c:v>7</c:v>
                </c:pt>
                <c:pt idx="18">
                  <c:v>10</c:v>
                </c:pt>
                <c:pt idx="19">
                  <c:v>14</c:v>
                </c:pt>
                <c:pt idx="20">
                  <c:v>26</c:v>
                </c:pt>
                <c:pt idx="21">
                  <c:v>8</c:v>
                </c:pt>
                <c:pt idx="22">
                  <c:v>13</c:v>
                </c:pt>
                <c:pt idx="23">
                  <c:v>8</c:v>
                </c:pt>
                <c:pt idx="24">
                  <c:v>11</c:v>
                </c:pt>
                <c:pt idx="25">
                  <c:v>10</c:v>
                </c:pt>
                <c:pt idx="26">
                  <c:v>21</c:v>
                </c:pt>
                <c:pt idx="27">
                  <c:v>10</c:v>
                </c:pt>
                <c:pt idx="28">
                  <c:v>4</c:v>
                </c:pt>
                <c:pt idx="29">
                  <c:v>8</c:v>
                </c:pt>
                <c:pt idx="30">
                  <c:v>9</c:v>
                </c:pt>
                <c:pt idx="31">
                  <c:v>25</c:v>
                </c:pt>
                <c:pt idx="32">
                  <c:v>8</c:v>
                </c:pt>
                <c:pt idx="33">
                  <c:v>15</c:v>
                </c:pt>
                <c:pt idx="34">
                  <c:v>9</c:v>
                </c:pt>
                <c:pt idx="35">
                  <c:v>12</c:v>
                </c:pt>
                <c:pt idx="36">
                  <c:v>21</c:v>
                </c:pt>
                <c:pt idx="37">
                  <c:v>5</c:v>
                </c:pt>
                <c:pt idx="38">
                  <c:v>17</c:v>
                </c:pt>
                <c:pt idx="39">
                  <c:v>20</c:v>
                </c:pt>
                <c:pt idx="40">
                  <c:v>16</c:v>
                </c:pt>
                <c:pt idx="41">
                  <c:v>22</c:v>
                </c:pt>
                <c:pt idx="42">
                  <c:v>5</c:v>
                </c:pt>
                <c:pt idx="43">
                  <c:v>8</c:v>
                </c:pt>
                <c:pt idx="44">
                  <c:v>20</c:v>
                </c:pt>
                <c:pt idx="45">
                  <c:v>8</c:v>
                </c:pt>
                <c:pt idx="46">
                  <c:v>2</c:v>
                </c:pt>
                <c:pt idx="47">
                  <c:v>14</c:v>
                </c:pt>
                <c:pt idx="48">
                  <c:v>20</c:v>
                </c:pt>
                <c:pt idx="49">
                  <c:v>8</c:v>
                </c:pt>
                <c:pt idx="50">
                  <c:v>7</c:v>
                </c:pt>
                <c:pt idx="51">
                  <c:v>8</c:v>
                </c:pt>
                <c:pt idx="52">
                  <c:v>5</c:v>
                </c:pt>
              </c:numCache>
            </c:numRef>
          </c:xVal>
          <c:yVal>
            <c:numRef>
              <c:f>Sheet1!$A$2:$A$54</c:f>
              <c:numCache>
                <c:formatCode>General</c:formatCode>
                <c:ptCount val="53"/>
                <c:pt idx="0">
                  <c:v>173.18421050000001</c:v>
                </c:pt>
                <c:pt idx="1">
                  <c:v>153.58426969999999</c:v>
                </c:pt>
                <c:pt idx="2">
                  <c:v>144.97894740000001</c:v>
                </c:pt>
                <c:pt idx="3">
                  <c:v>131.08333329999999</c:v>
                </c:pt>
                <c:pt idx="4">
                  <c:v>134.43478260000001</c:v>
                </c:pt>
                <c:pt idx="5">
                  <c:v>140.2394366</c:v>
                </c:pt>
                <c:pt idx="6">
                  <c:v>145.4954955</c:v>
                </c:pt>
                <c:pt idx="7">
                  <c:v>127.4210526</c:v>
                </c:pt>
                <c:pt idx="8">
                  <c:v>137.26</c:v>
                </c:pt>
                <c:pt idx="9">
                  <c:v>125.8571429</c:v>
                </c:pt>
                <c:pt idx="10">
                  <c:v>125.2387097</c:v>
                </c:pt>
                <c:pt idx="11">
                  <c:v>124.8235294</c:v>
                </c:pt>
                <c:pt idx="12">
                  <c:v>128.20487800000001</c:v>
                </c:pt>
                <c:pt idx="13">
                  <c:v>128.35582819999999</c:v>
                </c:pt>
                <c:pt idx="14">
                  <c:v>119.17924530000001</c:v>
                </c:pt>
                <c:pt idx="15">
                  <c:v>118.9058824</c:v>
                </c:pt>
                <c:pt idx="16">
                  <c:v>121.6368715</c:v>
                </c:pt>
                <c:pt idx="17">
                  <c:v>123.1595092</c:v>
                </c:pt>
                <c:pt idx="18">
                  <c:v>125.44047620000001</c:v>
                </c:pt>
                <c:pt idx="19">
                  <c:v>122.737931</c:v>
                </c:pt>
                <c:pt idx="20">
                  <c:v>127.5466667</c:v>
                </c:pt>
                <c:pt idx="21">
                  <c:v>127.5606061</c:v>
                </c:pt>
                <c:pt idx="22">
                  <c:v>126.93684210000001</c:v>
                </c:pt>
                <c:pt idx="23">
                  <c:v>132.4375</c:v>
                </c:pt>
                <c:pt idx="24">
                  <c:v>149.41176469999999</c:v>
                </c:pt>
                <c:pt idx="25">
                  <c:v>143.29591840000001</c:v>
                </c:pt>
                <c:pt idx="26">
                  <c:v>139.97087379999999</c:v>
                </c:pt>
                <c:pt idx="27">
                  <c:v>137.27083329999999</c:v>
                </c:pt>
                <c:pt idx="28">
                  <c:v>127.14084510000001</c:v>
                </c:pt>
                <c:pt idx="29">
                  <c:v>140.2857143</c:v>
                </c:pt>
                <c:pt idx="30">
                  <c:v>142.75862069999999</c:v>
                </c:pt>
                <c:pt idx="31">
                  <c:v>140.14285709999999</c:v>
                </c:pt>
                <c:pt idx="32">
                  <c:v>134.50420170000001</c:v>
                </c:pt>
                <c:pt idx="33">
                  <c:v>140.52631579999999</c:v>
                </c:pt>
                <c:pt idx="34">
                  <c:v>133.61111109999999</c:v>
                </c:pt>
                <c:pt idx="35">
                  <c:v>141</c:v>
                </c:pt>
                <c:pt idx="36">
                  <c:v>142.82352940000001</c:v>
                </c:pt>
                <c:pt idx="37">
                  <c:v>140.18987340000001</c:v>
                </c:pt>
                <c:pt idx="38">
                  <c:v>152.72916670000001</c:v>
                </c:pt>
                <c:pt idx="39">
                  <c:v>140.86000000000001</c:v>
                </c:pt>
                <c:pt idx="40">
                  <c:v>141.93902439999999</c:v>
                </c:pt>
                <c:pt idx="41">
                  <c:v>145.44117650000001</c:v>
                </c:pt>
                <c:pt idx="42">
                  <c:v>160.00719419999999</c:v>
                </c:pt>
                <c:pt idx="43">
                  <c:v>157.9027778</c:v>
                </c:pt>
                <c:pt idx="44">
                  <c:v>150</c:v>
                </c:pt>
                <c:pt idx="45">
                  <c:v>149.5257732</c:v>
                </c:pt>
                <c:pt idx="46">
                  <c:v>138.02797200000001</c:v>
                </c:pt>
                <c:pt idx="47">
                  <c:v>149.98295450000001</c:v>
                </c:pt>
                <c:pt idx="48">
                  <c:v>143.2105263</c:v>
                </c:pt>
                <c:pt idx="49">
                  <c:v>146.0198675</c:v>
                </c:pt>
                <c:pt idx="50">
                  <c:v>115.1090909</c:v>
                </c:pt>
                <c:pt idx="51">
                  <c:v>151.2929293</c:v>
                </c:pt>
                <c:pt idx="52">
                  <c:v>144.96183210000001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E-F84C-93BC-0D8116454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971327"/>
        <c:axId val="1282975359"/>
      </c:scatterChart>
      <c:valAx>
        <c:axId val="128297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75359"/>
        <c:crosses val="autoZero"/>
        <c:crossBetween val="midCat"/>
      </c:valAx>
      <c:valAx>
        <c:axId val="12829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7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winterSeverity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60530888976812"/>
                  <c:y val="-5.36566408127444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Sheet1!$B$2:$B$54</c:f>
              <c:numCache>
                <c:formatCode>General</c:formatCode>
                <c:ptCount val="53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16</c:v>
                </c:pt>
                <c:pt idx="5">
                  <c:v>8</c:v>
                </c:pt>
                <c:pt idx="6">
                  <c:v>17</c:v>
                </c:pt>
                <c:pt idx="7">
                  <c:v>23</c:v>
                </c:pt>
                <c:pt idx="8">
                  <c:v>19</c:v>
                </c:pt>
                <c:pt idx="9">
                  <c:v>13</c:v>
                </c:pt>
                <c:pt idx="10">
                  <c:v>9</c:v>
                </c:pt>
                <c:pt idx="11">
                  <c:v>20</c:v>
                </c:pt>
                <c:pt idx="12">
                  <c:v>16</c:v>
                </c:pt>
                <c:pt idx="13">
                  <c:v>10</c:v>
                </c:pt>
                <c:pt idx="14">
                  <c:v>23</c:v>
                </c:pt>
                <c:pt idx="15">
                  <c:v>11</c:v>
                </c:pt>
                <c:pt idx="16">
                  <c:v>22</c:v>
                </c:pt>
                <c:pt idx="17">
                  <c:v>7</c:v>
                </c:pt>
                <c:pt idx="18">
                  <c:v>10</c:v>
                </c:pt>
                <c:pt idx="19">
                  <c:v>14</c:v>
                </c:pt>
                <c:pt idx="20">
                  <c:v>26</c:v>
                </c:pt>
                <c:pt idx="21">
                  <c:v>8</c:v>
                </c:pt>
                <c:pt idx="22">
                  <c:v>13</c:v>
                </c:pt>
                <c:pt idx="23">
                  <c:v>8</c:v>
                </c:pt>
                <c:pt idx="24">
                  <c:v>11</c:v>
                </c:pt>
                <c:pt idx="25">
                  <c:v>10</c:v>
                </c:pt>
                <c:pt idx="26">
                  <c:v>21</c:v>
                </c:pt>
                <c:pt idx="27">
                  <c:v>10</c:v>
                </c:pt>
                <c:pt idx="28">
                  <c:v>4</c:v>
                </c:pt>
                <c:pt idx="29">
                  <c:v>8</c:v>
                </c:pt>
                <c:pt idx="30">
                  <c:v>9</c:v>
                </c:pt>
                <c:pt idx="31">
                  <c:v>25</c:v>
                </c:pt>
                <c:pt idx="32">
                  <c:v>8</c:v>
                </c:pt>
                <c:pt idx="33">
                  <c:v>15</c:v>
                </c:pt>
                <c:pt idx="34">
                  <c:v>9</c:v>
                </c:pt>
                <c:pt idx="35">
                  <c:v>12</c:v>
                </c:pt>
                <c:pt idx="36">
                  <c:v>21</c:v>
                </c:pt>
                <c:pt idx="37">
                  <c:v>5</c:v>
                </c:pt>
                <c:pt idx="38">
                  <c:v>17</c:v>
                </c:pt>
                <c:pt idx="39">
                  <c:v>20</c:v>
                </c:pt>
                <c:pt idx="40">
                  <c:v>16</c:v>
                </c:pt>
                <c:pt idx="41">
                  <c:v>22</c:v>
                </c:pt>
                <c:pt idx="42">
                  <c:v>5</c:v>
                </c:pt>
                <c:pt idx="43">
                  <c:v>8</c:v>
                </c:pt>
                <c:pt idx="44">
                  <c:v>20</c:v>
                </c:pt>
                <c:pt idx="45">
                  <c:v>8</c:v>
                </c:pt>
                <c:pt idx="46">
                  <c:v>2</c:v>
                </c:pt>
                <c:pt idx="47">
                  <c:v>14</c:v>
                </c:pt>
                <c:pt idx="48">
                  <c:v>20</c:v>
                </c:pt>
                <c:pt idx="49">
                  <c:v>8</c:v>
                </c:pt>
                <c:pt idx="50">
                  <c:v>7</c:v>
                </c:pt>
                <c:pt idx="51">
                  <c:v>8</c:v>
                </c:pt>
                <c:pt idx="52">
                  <c:v>5</c:v>
                </c:pt>
              </c:numCache>
            </c:numRef>
          </c:xVal>
          <c:yVal>
            <c:numRef>
              <c:f>Sheet1!$A$2:$A$54</c:f>
              <c:numCache>
                <c:formatCode>General</c:formatCode>
                <c:ptCount val="53"/>
                <c:pt idx="0">
                  <c:v>173.18421050000001</c:v>
                </c:pt>
                <c:pt idx="1">
                  <c:v>153.58426969999999</c:v>
                </c:pt>
                <c:pt idx="2">
                  <c:v>144.97894740000001</c:v>
                </c:pt>
                <c:pt idx="3">
                  <c:v>131.08333329999999</c:v>
                </c:pt>
                <c:pt idx="4">
                  <c:v>134.43478260000001</c:v>
                </c:pt>
                <c:pt idx="5">
                  <c:v>140.2394366</c:v>
                </c:pt>
                <c:pt idx="6">
                  <c:v>145.4954955</c:v>
                </c:pt>
                <c:pt idx="7">
                  <c:v>127.4210526</c:v>
                </c:pt>
                <c:pt idx="8">
                  <c:v>137.26</c:v>
                </c:pt>
                <c:pt idx="9">
                  <c:v>125.8571429</c:v>
                </c:pt>
                <c:pt idx="10">
                  <c:v>125.2387097</c:v>
                </c:pt>
                <c:pt idx="11">
                  <c:v>124.8235294</c:v>
                </c:pt>
                <c:pt idx="12">
                  <c:v>128.20487800000001</c:v>
                </c:pt>
                <c:pt idx="13">
                  <c:v>128.35582819999999</c:v>
                </c:pt>
                <c:pt idx="14">
                  <c:v>119.17924530000001</c:v>
                </c:pt>
                <c:pt idx="15">
                  <c:v>118.9058824</c:v>
                </c:pt>
                <c:pt idx="16">
                  <c:v>121.6368715</c:v>
                </c:pt>
                <c:pt idx="17">
                  <c:v>123.1595092</c:v>
                </c:pt>
                <c:pt idx="18">
                  <c:v>125.44047620000001</c:v>
                </c:pt>
                <c:pt idx="19">
                  <c:v>122.737931</c:v>
                </c:pt>
                <c:pt idx="20">
                  <c:v>127.5466667</c:v>
                </c:pt>
                <c:pt idx="21">
                  <c:v>127.5606061</c:v>
                </c:pt>
                <c:pt idx="22">
                  <c:v>126.93684210000001</c:v>
                </c:pt>
                <c:pt idx="23">
                  <c:v>132.4375</c:v>
                </c:pt>
                <c:pt idx="24">
                  <c:v>149.41176469999999</c:v>
                </c:pt>
                <c:pt idx="25">
                  <c:v>143.29591840000001</c:v>
                </c:pt>
                <c:pt idx="26">
                  <c:v>139.97087379999999</c:v>
                </c:pt>
                <c:pt idx="27">
                  <c:v>137.27083329999999</c:v>
                </c:pt>
                <c:pt idx="28">
                  <c:v>127.14084510000001</c:v>
                </c:pt>
                <c:pt idx="29">
                  <c:v>140.2857143</c:v>
                </c:pt>
                <c:pt idx="30">
                  <c:v>142.75862069999999</c:v>
                </c:pt>
                <c:pt idx="31">
                  <c:v>140.14285709999999</c:v>
                </c:pt>
                <c:pt idx="32">
                  <c:v>134.50420170000001</c:v>
                </c:pt>
                <c:pt idx="33">
                  <c:v>140.52631579999999</c:v>
                </c:pt>
                <c:pt idx="34">
                  <c:v>133.61111109999999</c:v>
                </c:pt>
                <c:pt idx="35">
                  <c:v>141</c:v>
                </c:pt>
                <c:pt idx="36">
                  <c:v>142.82352940000001</c:v>
                </c:pt>
                <c:pt idx="37">
                  <c:v>140.18987340000001</c:v>
                </c:pt>
                <c:pt idx="38">
                  <c:v>152.72916670000001</c:v>
                </c:pt>
                <c:pt idx="39">
                  <c:v>140.86000000000001</c:v>
                </c:pt>
                <c:pt idx="40">
                  <c:v>141.93902439999999</c:v>
                </c:pt>
                <c:pt idx="41">
                  <c:v>145.44117650000001</c:v>
                </c:pt>
                <c:pt idx="42">
                  <c:v>160.00719419999999</c:v>
                </c:pt>
                <c:pt idx="43">
                  <c:v>157.9027778</c:v>
                </c:pt>
                <c:pt idx="44">
                  <c:v>150</c:v>
                </c:pt>
                <c:pt idx="45">
                  <c:v>149.5257732</c:v>
                </c:pt>
                <c:pt idx="46">
                  <c:v>138.02797200000001</c:v>
                </c:pt>
                <c:pt idx="47">
                  <c:v>149.98295450000001</c:v>
                </c:pt>
                <c:pt idx="48">
                  <c:v>143.2105263</c:v>
                </c:pt>
                <c:pt idx="49">
                  <c:v>146.0198675</c:v>
                </c:pt>
                <c:pt idx="50">
                  <c:v>115.1090909</c:v>
                </c:pt>
                <c:pt idx="51">
                  <c:v>151.2929293</c:v>
                </c:pt>
                <c:pt idx="52">
                  <c:v>144.96183210000001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83-F943-9440-88929545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971327"/>
        <c:axId val="1282975359"/>
      </c:scatterChart>
      <c:valAx>
        <c:axId val="128297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75359"/>
        <c:crosses val="autoZero"/>
        <c:crossBetween val="midCat"/>
      </c:valAx>
      <c:valAx>
        <c:axId val="12829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7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4</xdr:row>
      <xdr:rowOff>12700</xdr:rowOff>
    </xdr:from>
    <xdr:to>
      <xdr:col>12</xdr:col>
      <xdr:colOff>660400</xdr:colOff>
      <xdr:row>28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6FCE2-CA51-5A6F-3968-DFFD955EF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24</xdr:col>
      <xdr:colOff>749300</xdr:colOff>
      <xdr:row>32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F4865-1246-2846-966C-EA65B5B51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52B-D856-F746-8D61-C5D41A951DE1}">
  <dimension ref="A1:AN54"/>
  <sheetViews>
    <sheetView zoomScale="131" workbookViewId="0">
      <selection activeCell="D1" activeCellId="1" sqref="AG1:AG1048576 D1:D1048576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1970</v>
      </c>
      <c r="B2">
        <v>230</v>
      </c>
      <c r="C2">
        <v>23</v>
      </c>
      <c r="D2">
        <v>173.18421050000001</v>
      </c>
      <c r="E2">
        <v>221</v>
      </c>
      <c r="F2">
        <v>259</v>
      </c>
      <c r="G2">
        <v>5.2611760160000003</v>
      </c>
      <c r="H2">
        <v>6.2053922290000001</v>
      </c>
      <c r="I2">
        <v>6.4944704000000006E-2</v>
      </c>
      <c r="J2">
        <v>0.33333333300000001</v>
      </c>
      <c r="K2">
        <v>1.0751994250000001</v>
      </c>
      <c r="L2">
        <v>0.14049683299999999</v>
      </c>
      <c r="M2">
        <v>0.25</v>
      </c>
      <c r="N2">
        <v>0.94953667799999997</v>
      </c>
      <c r="O2">
        <v>0.23214468399999999</v>
      </c>
      <c r="P2">
        <v>0.125</v>
      </c>
      <c r="Q2">
        <v>0.13433578700000001</v>
      </c>
      <c r="R2">
        <v>3.7765528999999999E-2</v>
      </c>
      <c r="S2">
        <v>2.7553735999999999E-2</v>
      </c>
      <c r="T2" t="s">
        <v>40</v>
      </c>
      <c r="U2" t="s">
        <v>40</v>
      </c>
      <c r="V2">
        <v>0</v>
      </c>
      <c r="W2">
        <v>0</v>
      </c>
      <c r="X2">
        <v>0</v>
      </c>
      <c r="Y2">
        <v>8.1391304350000002</v>
      </c>
      <c r="Z2">
        <v>4.2112075449999997</v>
      </c>
      <c r="AA2">
        <v>13.97173913</v>
      </c>
      <c r="AB2" t="s">
        <v>40</v>
      </c>
      <c r="AC2">
        <v>7.4645200999999994E-2</v>
      </c>
      <c r="AD2" t="s">
        <v>40</v>
      </c>
      <c r="AE2">
        <v>-6.5855555560000001</v>
      </c>
      <c r="AF2" t="s">
        <v>40</v>
      </c>
      <c r="AG2">
        <v>20</v>
      </c>
      <c r="AH2" t="s">
        <v>40</v>
      </c>
      <c r="AI2">
        <v>898.4</v>
      </c>
      <c r="AJ2" t="s">
        <v>40</v>
      </c>
      <c r="AK2">
        <v>0.104782609</v>
      </c>
      <c r="AL2" t="s">
        <v>40</v>
      </c>
      <c r="AM2" t="s">
        <v>40</v>
      </c>
      <c r="AN2" t="s">
        <v>40</v>
      </c>
    </row>
    <row r="3" spans="1:40" x14ac:dyDescent="0.2">
      <c r="A3">
        <v>1971</v>
      </c>
      <c r="B3">
        <v>210</v>
      </c>
      <c r="C3">
        <v>21</v>
      </c>
      <c r="D3">
        <v>153.58426969999999</v>
      </c>
      <c r="E3">
        <v>209.29677419999999</v>
      </c>
      <c r="F3">
        <v>268.63636359999998</v>
      </c>
      <c r="G3">
        <v>4.6370019459999998</v>
      </c>
      <c r="H3">
        <v>6.0248006360000002</v>
      </c>
      <c r="I3">
        <v>4.4407099999999998E-2</v>
      </c>
      <c r="J3">
        <v>0.22395833300000001</v>
      </c>
      <c r="K3">
        <v>8.7963406380000002</v>
      </c>
      <c r="L3">
        <v>0.11827103899999999</v>
      </c>
      <c r="M3">
        <v>0.47602739700000002</v>
      </c>
      <c r="N3">
        <v>1.1370852090000001</v>
      </c>
      <c r="O3">
        <v>0.260598302</v>
      </c>
      <c r="P3">
        <v>0.192307692</v>
      </c>
      <c r="Q3">
        <v>5.9918691000000003E-2</v>
      </c>
      <c r="R3">
        <v>0.49523622</v>
      </c>
      <c r="S3">
        <v>5.6985091000000002E-2</v>
      </c>
      <c r="T3">
        <v>0.199655052</v>
      </c>
      <c r="U3" t="s">
        <v>40</v>
      </c>
      <c r="V3">
        <v>4.7619047999999997E-2</v>
      </c>
      <c r="W3">
        <v>0</v>
      </c>
      <c r="X3">
        <v>0</v>
      </c>
      <c r="Y3">
        <v>18.05238095</v>
      </c>
      <c r="Z3">
        <v>3.5715382519999999</v>
      </c>
      <c r="AA3">
        <v>13.87391304</v>
      </c>
      <c r="AB3">
        <v>13.97173913</v>
      </c>
      <c r="AC3">
        <v>0.24622128800000001</v>
      </c>
      <c r="AD3">
        <v>7.4645200999999994E-2</v>
      </c>
      <c r="AE3">
        <v>-4.6166666669999996</v>
      </c>
      <c r="AF3">
        <v>-6.5855555560000001</v>
      </c>
      <c r="AG3">
        <v>15</v>
      </c>
      <c r="AH3">
        <v>20</v>
      </c>
      <c r="AI3">
        <v>742.1</v>
      </c>
      <c r="AJ3">
        <v>898.4</v>
      </c>
      <c r="AK3">
        <v>-5.0815217000000003E-2</v>
      </c>
      <c r="AL3">
        <v>0.104782609</v>
      </c>
      <c r="AM3">
        <v>3.1452321670000001</v>
      </c>
      <c r="AN3" t="s">
        <v>40</v>
      </c>
    </row>
    <row r="4" spans="1:40" x14ac:dyDescent="0.2">
      <c r="A4">
        <v>1972</v>
      </c>
      <c r="B4">
        <v>164</v>
      </c>
      <c r="C4">
        <v>17</v>
      </c>
      <c r="D4">
        <v>144.97894740000001</v>
      </c>
      <c r="E4">
        <v>193.04</v>
      </c>
      <c r="F4">
        <v>229.0357143</v>
      </c>
      <c r="G4">
        <v>3.1189202310000002</v>
      </c>
      <c r="H4">
        <v>29.725879249999998</v>
      </c>
      <c r="I4">
        <v>3.6999438000000003E-2</v>
      </c>
      <c r="J4">
        <v>9.6938776000000004E-2</v>
      </c>
      <c r="K4">
        <v>20.46425563</v>
      </c>
      <c r="L4">
        <v>9.1566943999999997E-2</v>
      </c>
      <c r="M4">
        <v>0.56626505999999999</v>
      </c>
      <c r="N4">
        <v>14.190944890000001</v>
      </c>
      <c r="O4">
        <v>0.15731083800000001</v>
      </c>
      <c r="P4">
        <v>0.321428571</v>
      </c>
      <c r="Q4">
        <v>0.106617224</v>
      </c>
      <c r="R4">
        <v>1.06109542</v>
      </c>
      <c r="S4">
        <v>0.71755374699999996</v>
      </c>
      <c r="T4">
        <v>0.61214000300000004</v>
      </c>
      <c r="U4">
        <v>0.199655052</v>
      </c>
      <c r="V4">
        <v>0</v>
      </c>
      <c r="W4">
        <v>0.27710122999999998</v>
      </c>
      <c r="X4">
        <v>0.13855061499999999</v>
      </c>
      <c r="Y4">
        <v>6.1097560980000001</v>
      </c>
      <c r="Z4">
        <v>1.232508479</v>
      </c>
      <c r="AA4">
        <v>12.86467391</v>
      </c>
      <c r="AB4">
        <v>13.87391304</v>
      </c>
      <c r="AC4">
        <v>0.256601723</v>
      </c>
      <c r="AD4">
        <v>0.24622128800000001</v>
      </c>
      <c r="AE4">
        <v>-4.3533333330000001</v>
      </c>
      <c r="AF4">
        <v>-4.6166666669999996</v>
      </c>
      <c r="AG4">
        <v>10</v>
      </c>
      <c r="AH4">
        <v>15</v>
      </c>
      <c r="AI4">
        <v>960.4</v>
      </c>
      <c r="AJ4">
        <v>742.1</v>
      </c>
      <c r="AK4">
        <v>0.64168478299999998</v>
      </c>
      <c r="AL4">
        <v>-5.0815217000000003E-2</v>
      </c>
      <c r="AM4">
        <v>1.628281122</v>
      </c>
      <c r="AN4">
        <v>5.003182163</v>
      </c>
    </row>
    <row r="5" spans="1:40" x14ac:dyDescent="0.2">
      <c r="A5">
        <v>1973</v>
      </c>
      <c r="B5">
        <v>170</v>
      </c>
      <c r="C5">
        <v>17</v>
      </c>
      <c r="D5">
        <v>131.08333329999999</v>
      </c>
      <c r="E5">
        <v>173.11111109999999</v>
      </c>
      <c r="F5">
        <v>224.54838710000001</v>
      </c>
      <c r="G5">
        <v>1.3058823530000001</v>
      </c>
      <c r="H5">
        <v>9.7419282119999995</v>
      </c>
      <c r="I5">
        <v>2.6896931999999998E-2</v>
      </c>
      <c r="J5">
        <v>0.281396231</v>
      </c>
      <c r="K5">
        <v>13.935486640000001</v>
      </c>
      <c r="L5">
        <v>6.4857982999999994E-2</v>
      </c>
      <c r="M5">
        <v>0.510204082</v>
      </c>
      <c r="N5">
        <v>3.3108102019999999</v>
      </c>
      <c r="O5">
        <v>0.147761384</v>
      </c>
      <c r="P5">
        <v>0.340659341</v>
      </c>
      <c r="Q5">
        <v>7.3733688000000006E-2</v>
      </c>
      <c r="R5">
        <v>0.46113650699999997</v>
      </c>
      <c r="S5">
        <v>0.16665392100000001</v>
      </c>
      <c r="T5">
        <v>1.885266391</v>
      </c>
      <c r="U5">
        <v>0.61214000300000004</v>
      </c>
      <c r="V5">
        <v>0</v>
      </c>
      <c r="W5">
        <v>0.27710122999999998</v>
      </c>
      <c r="X5">
        <v>0.27710122999999998</v>
      </c>
      <c r="Y5">
        <v>0.47647058799999997</v>
      </c>
      <c r="Z5">
        <v>0.91992979600000002</v>
      </c>
      <c r="AA5">
        <v>14.85652174</v>
      </c>
      <c r="AB5">
        <v>12.86467391</v>
      </c>
      <c r="AC5">
        <v>0.58105824399999995</v>
      </c>
      <c r="AD5">
        <v>0.256601723</v>
      </c>
      <c r="AE5">
        <v>-4.5022222220000003</v>
      </c>
      <c r="AF5">
        <v>-4.3533333330000001</v>
      </c>
      <c r="AG5">
        <v>20</v>
      </c>
      <c r="AH5">
        <v>10</v>
      </c>
      <c r="AI5">
        <v>1430.5</v>
      </c>
      <c r="AJ5">
        <v>960.4</v>
      </c>
      <c r="AK5">
        <v>3.7880434999999997E-2</v>
      </c>
      <c r="AL5">
        <v>0.64168478299999998</v>
      </c>
      <c r="AM5">
        <v>-0.36719018799999997</v>
      </c>
      <c r="AN5">
        <v>2.767233327</v>
      </c>
    </row>
    <row r="6" spans="1:40" x14ac:dyDescent="0.2">
      <c r="A6">
        <v>1974</v>
      </c>
      <c r="B6">
        <v>280</v>
      </c>
      <c r="C6">
        <v>28</v>
      </c>
      <c r="D6">
        <v>134.43478260000001</v>
      </c>
      <c r="E6">
        <v>168.73684209999999</v>
      </c>
      <c r="F6">
        <v>206.06557380000001</v>
      </c>
      <c r="G6">
        <v>10.02609502</v>
      </c>
      <c r="H6">
        <v>35.061029939999997</v>
      </c>
      <c r="I6">
        <v>2.9134284999999999E-2</v>
      </c>
      <c r="J6">
        <v>0.13829787199999999</v>
      </c>
      <c r="K6">
        <v>13.13782559</v>
      </c>
      <c r="L6">
        <v>5.9811455999999999E-2</v>
      </c>
      <c r="M6">
        <v>0.70370370400000004</v>
      </c>
      <c r="N6">
        <v>16.282063839999999</v>
      </c>
      <c r="O6">
        <v>0.11258802900000001</v>
      </c>
      <c r="P6">
        <v>0.455223881</v>
      </c>
      <c r="Q6">
        <v>0.14126823799999999</v>
      </c>
      <c r="R6">
        <v>0.55296508</v>
      </c>
      <c r="S6">
        <v>0.83450070099999996</v>
      </c>
      <c r="T6">
        <v>0.701524115</v>
      </c>
      <c r="U6">
        <v>1.885266391</v>
      </c>
      <c r="V6">
        <v>0</v>
      </c>
      <c r="W6">
        <v>0</v>
      </c>
      <c r="X6">
        <v>0.13855061499999999</v>
      </c>
      <c r="Y6">
        <v>2.9214285709999999</v>
      </c>
      <c r="Z6">
        <v>7.4290400720000003</v>
      </c>
      <c r="AA6">
        <v>13.65326087</v>
      </c>
      <c r="AB6">
        <v>14.85652174</v>
      </c>
      <c r="AC6">
        <v>0.57290607100000002</v>
      </c>
      <c r="AD6">
        <v>0.58105824399999995</v>
      </c>
      <c r="AE6">
        <v>-4.6644444439999999</v>
      </c>
      <c r="AF6">
        <v>-4.5022222220000003</v>
      </c>
      <c r="AG6">
        <v>16</v>
      </c>
      <c r="AH6">
        <v>20</v>
      </c>
      <c r="AI6">
        <v>1645.1</v>
      </c>
      <c r="AJ6">
        <v>1430.5</v>
      </c>
      <c r="AK6">
        <v>-0.22103260899999999</v>
      </c>
      <c r="AL6">
        <v>3.7880434999999997E-2</v>
      </c>
      <c r="AM6">
        <v>2.6596912000000001</v>
      </c>
      <c r="AN6">
        <v>2.9230211229999998</v>
      </c>
    </row>
    <row r="7" spans="1:40" x14ac:dyDescent="0.2">
      <c r="A7">
        <v>1975</v>
      </c>
      <c r="B7">
        <v>200</v>
      </c>
      <c r="C7">
        <v>20</v>
      </c>
      <c r="D7">
        <v>140.2394366</v>
      </c>
      <c r="E7">
        <v>172.20408159999999</v>
      </c>
      <c r="F7">
        <v>210.1176471</v>
      </c>
      <c r="G7">
        <v>20.547030939999999</v>
      </c>
      <c r="H7">
        <v>13.23218441</v>
      </c>
      <c r="I7">
        <v>3.3304970000000003E-2</v>
      </c>
      <c r="J7">
        <v>3.3333333E-2</v>
      </c>
      <c r="K7">
        <v>16.435440910000001</v>
      </c>
      <c r="L7">
        <v>6.3788513000000005E-2</v>
      </c>
      <c r="M7">
        <v>0.515151515</v>
      </c>
      <c r="N7">
        <v>37.185456840000001</v>
      </c>
      <c r="O7">
        <v>0.11974541499999999</v>
      </c>
      <c r="P7">
        <v>0.4</v>
      </c>
      <c r="Q7">
        <v>1.4689917E-2</v>
      </c>
      <c r="R7">
        <v>0.540080903</v>
      </c>
      <c r="S7">
        <v>1.781115185</v>
      </c>
      <c r="T7">
        <v>1.528734018</v>
      </c>
      <c r="U7">
        <v>0.701524115</v>
      </c>
      <c r="V7">
        <v>0</v>
      </c>
      <c r="W7">
        <v>0</v>
      </c>
      <c r="X7">
        <v>0</v>
      </c>
      <c r="Y7">
        <v>4.1050000000000004</v>
      </c>
      <c r="Z7">
        <v>16.85751758</v>
      </c>
      <c r="AA7">
        <v>14.41902174</v>
      </c>
      <c r="AB7">
        <v>13.65326087</v>
      </c>
      <c r="AC7">
        <v>0.42622128799999998</v>
      </c>
      <c r="AD7">
        <v>0.57290607100000002</v>
      </c>
      <c r="AE7">
        <v>-2.3144444439999998</v>
      </c>
      <c r="AF7">
        <v>-4.6644444439999999</v>
      </c>
      <c r="AG7">
        <v>8</v>
      </c>
      <c r="AH7">
        <v>16</v>
      </c>
      <c r="AI7">
        <v>1428.4</v>
      </c>
      <c r="AJ7">
        <v>1645.1</v>
      </c>
      <c r="AK7">
        <v>-0.37086956500000001</v>
      </c>
      <c r="AL7">
        <v>-0.22103260899999999</v>
      </c>
      <c r="AM7">
        <v>2.5982764970000001</v>
      </c>
      <c r="AN7">
        <v>2.937152078</v>
      </c>
    </row>
    <row r="8" spans="1:40" x14ac:dyDescent="0.2">
      <c r="A8">
        <v>1976</v>
      </c>
      <c r="B8">
        <v>220</v>
      </c>
      <c r="C8">
        <v>22</v>
      </c>
      <c r="D8">
        <v>145.4954955</v>
      </c>
      <c r="E8">
        <v>176.3090909</v>
      </c>
      <c r="F8">
        <v>210.95</v>
      </c>
      <c r="G8">
        <v>3.4590232009999999</v>
      </c>
      <c r="H8">
        <v>60.41999466</v>
      </c>
      <c r="I8">
        <v>3.7418278999999999E-2</v>
      </c>
      <c r="J8">
        <v>0.27397260299999998</v>
      </c>
      <c r="K8">
        <v>15.805882710000001</v>
      </c>
      <c r="L8">
        <v>6.8726533000000006E-2</v>
      </c>
      <c r="M8">
        <v>0.43925233600000002</v>
      </c>
      <c r="N8">
        <v>31.09237216</v>
      </c>
      <c r="O8">
        <v>0.12125319800000001</v>
      </c>
      <c r="P8">
        <v>0.29442970800000001</v>
      </c>
      <c r="Q8">
        <v>0.61940060699999999</v>
      </c>
      <c r="R8">
        <v>0.47715257300000002</v>
      </c>
      <c r="S8">
        <v>1.11001459</v>
      </c>
      <c r="T8">
        <v>2.3358860039999998</v>
      </c>
      <c r="U8">
        <v>1.528734018</v>
      </c>
      <c r="V8">
        <v>0</v>
      </c>
      <c r="W8">
        <v>0</v>
      </c>
      <c r="X8">
        <v>0</v>
      </c>
      <c r="Y8">
        <v>3.3318181820000001</v>
      </c>
      <c r="Z8">
        <v>25.415333329999999</v>
      </c>
      <c r="AA8">
        <v>14.77554348</v>
      </c>
      <c r="AB8">
        <v>14.41902174</v>
      </c>
      <c r="AC8">
        <v>0.449210418</v>
      </c>
      <c r="AD8">
        <v>0.42622128799999998</v>
      </c>
      <c r="AE8">
        <v>-4.0766666669999996</v>
      </c>
      <c r="AF8">
        <v>-2.3144444439999998</v>
      </c>
      <c r="AG8">
        <v>17</v>
      </c>
      <c r="AH8">
        <v>8</v>
      </c>
      <c r="AI8">
        <v>1038.8</v>
      </c>
      <c r="AJ8">
        <v>1428.4</v>
      </c>
      <c r="AK8">
        <v>0.73048913000000004</v>
      </c>
      <c r="AL8">
        <v>-0.37086956500000001</v>
      </c>
      <c r="AM8">
        <v>0.39259497300000001</v>
      </c>
      <c r="AN8">
        <v>3.6768801340000001</v>
      </c>
    </row>
    <row r="9" spans="1:40" x14ac:dyDescent="0.2">
      <c r="A9">
        <v>1977</v>
      </c>
      <c r="B9">
        <v>180</v>
      </c>
      <c r="C9">
        <v>18</v>
      </c>
      <c r="D9">
        <v>127.4210526</v>
      </c>
      <c r="E9">
        <v>160.80571430000001</v>
      </c>
      <c r="F9">
        <v>194.6941176</v>
      </c>
      <c r="G9">
        <v>10.160449910000001</v>
      </c>
      <c r="H9">
        <v>20.843025180000001</v>
      </c>
      <c r="I9">
        <v>2.4589706999999999E-2</v>
      </c>
      <c r="J9">
        <v>0.222222222</v>
      </c>
      <c r="K9">
        <v>53.611927520000002</v>
      </c>
      <c r="L9">
        <v>5.1358125999999997E-2</v>
      </c>
      <c r="M9">
        <v>0.546666667</v>
      </c>
      <c r="N9">
        <v>30.167710660000001</v>
      </c>
      <c r="O9">
        <v>9.4073369000000004E-2</v>
      </c>
      <c r="P9">
        <v>0.342975207</v>
      </c>
      <c r="Q9">
        <v>0.113894195</v>
      </c>
      <c r="R9">
        <v>1.505196435</v>
      </c>
      <c r="S9">
        <v>0.97335615200000003</v>
      </c>
      <c r="T9">
        <v>2.2065677699999999</v>
      </c>
      <c r="U9">
        <v>2.3358860039999998</v>
      </c>
      <c r="V9">
        <v>0</v>
      </c>
      <c r="W9">
        <v>0</v>
      </c>
      <c r="X9">
        <v>0</v>
      </c>
      <c r="Y9">
        <v>1.3055555560000001</v>
      </c>
      <c r="Z9">
        <v>31.82566667</v>
      </c>
      <c r="AA9">
        <v>15.181521740000001</v>
      </c>
      <c r="AB9">
        <v>14.77554348</v>
      </c>
      <c r="AC9">
        <v>-7.7420015999999994E-2</v>
      </c>
      <c r="AD9">
        <v>0.449210418</v>
      </c>
      <c r="AE9">
        <v>-7.693333333</v>
      </c>
      <c r="AF9">
        <v>-4.0766666669999996</v>
      </c>
      <c r="AG9">
        <v>23</v>
      </c>
      <c r="AH9">
        <v>17</v>
      </c>
      <c r="AI9">
        <v>616.79999999999995</v>
      </c>
      <c r="AJ9">
        <v>1038.8</v>
      </c>
      <c r="AK9">
        <v>-0.39130434800000002</v>
      </c>
      <c r="AL9">
        <v>0.73048913000000004</v>
      </c>
      <c r="AM9">
        <v>1.5270644609999999</v>
      </c>
      <c r="AN9">
        <v>2.1886281040000002</v>
      </c>
    </row>
    <row r="10" spans="1:40" x14ac:dyDescent="0.2">
      <c r="A10">
        <v>1978</v>
      </c>
      <c r="B10">
        <v>130</v>
      </c>
      <c r="C10">
        <v>13</v>
      </c>
      <c r="D10">
        <v>137.26</v>
      </c>
      <c r="E10">
        <v>159.4146341</v>
      </c>
      <c r="F10">
        <v>192.6282051</v>
      </c>
      <c r="G10">
        <v>8.8133096920000007</v>
      </c>
      <c r="H10">
        <v>23.574693159999999</v>
      </c>
      <c r="I10">
        <v>3.1116570999999999E-2</v>
      </c>
      <c r="J10">
        <v>0.24528301899999999</v>
      </c>
      <c r="K10">
        <v>28.317504880000001</v>
      </c>
      <c r="L10">
        <v>4.9965093000000002E-2</v>
      </c>
      <c r="M10">
        <v>0.48192771099999998</v>
      </c>
      <c r="N10">
        <v>43.109876880000002</v>
      </c>
      <c r="O10">
        <v>9.0950146999999995E-2</v>
      </c>
      <c r="P10">
        <v>0.44</v>
      </c>
      <c r="Q10">
        <v>0.179930698</v>
      </c>
      <c r="R10">
        <v>0.68187314099999996</v>
      </c>
      <c r="S10">
        <v>1.725173834</v>
      </c>
      <c r="T10">
        <v>2.5924467820000001</v>
      </c>
      <c r="U10">
        <v>2.2065677699999999</v>
      </c>
      <c r="V10">
        <v>0</v>
      </c>
      <c r="W10">
        <v>0</v>
      </c>
      <c r="X10">
        <v>0</v>
      </c>
      <c r="Y10">
        <v>7.1615384620000002</v>
      </c>
      <c r="Z10">
        <v>26.08666667</v>
      </c>
      <c r="AA10">
        <v>12.49347826</v>
      </c>
      <c r="AB10">
        <v>15.181521740000001</v>
      </c>
      <c r="AC10">
        <v>-1.5463495000000001E-2</v>
      </c>
      <c r="AD10">
        <v>-7.7420015999999994E-2</v>
      </c>
      <c r="AE10">
        <v>-7.7544444439999998</v>
      </c>
      <c r="AF10">
        <v>-7.693333333</v>
      </c>
      <c r="AG10">
        <v>19</v>
      </c>
      <c r="AH10">
        <v>23</v>
      </c>
      <c r="AI10">
        <v>650.9</v>
      </c>
      <c r="AJ10">
        <v>616.79999999999995</v>
      </c>
      <c r="AK10">
        <v>0.24989130400000001</v>
      </c>
      <c r="AL10">
        <v>-0.39130434800000002</v>
      </c>
      <c r="AM10">
        <v>1.2236609110000001</v>
      </c>
      <c r="AN10">
        <v>2.3687355499999998</v>
      </c>
    </row>
    <row r="11" spans="1:40" x14ac:dyDescent="0.2">
      <c r="A11">
        <v>1979</v>
      </c>
      <c r="B11">
        <v>210</v>
      </c>
      <c r="C11">
        <v>21</v>
      </c>
      <c r="D11">
        <v>125.8571429</v>
      </c>
      <c r="E11">
        <v>157.76388890000001</v>
      </c>
      <c r="F11">
        <v>188.29310340000001</v>
      </c>
      <c r="G11">
        <v>50.941221849999998</v>
      </c>
      <c r="H11">
        <v>37.804579629999999</v>
      </c>
      <c r="I11">
        <v>2.3647129999999999E-2</v>
      </c>
      <c r="J11">
        <v>0.48554913300000002</v>
      </c>
      <c r="K11">
        <v>16.8875624</v>
      </c>
      <c r="L11">
        <v>4.8345833999999997E-2</v>
      </c>
      <c r="M11">
        <v>0.485294118</v>
      </c>
      <c r="N11">
        <v>19.042826600000001</v>
      </c>
      <c r="O11">
        <v>8.4628357000000001E-2</v>
      </c>
      <c r="P11">
        <v>0.413669065</v>
      </c>
      <c r="Q11">
        <v>0.43406626999999998</v>
      </c>
      <c r="R11">
        <v>0.396215123</v>
      </c>
      <c r="S11">
        <v>0.66665381000000001</v>
      </c>
      <c r="T11">
        <v>2.5869776729999998</v>
      </c>
      <c r="U11">
        <v>2.5924467820000001</v>
      </c>
      <c r="V11">
        <v>0</v>
      </c>
      <c r="W11">
        <v>0</v>
      </c>
      <c r="X11">
        <v>0</v>
      </c>
      <c r="Y11">
        <v>30.214285709999999</v>
      </c>
      <c r="Z11">
        <v>25.67433333</v>
      </c>
      <c r="AA11">
        <v>13.04076087</v>
      </c>
      <c r="AB11">
        <v>12.49347826</v>
      </c>
      <c r="AC11">
        <v>0.22959085300000001</v>
      </c>
      <c r="AD11">
        <v>-1.5463495000000001E-2</v>
      </c>
      <c r="AE11">
        <v>-8.0377777780000006</v>
      </c>
      <c r="AF11">
        <v>-7.7544444439999998</v>
      </c>
      <c r="AG11">
        <v>13</v>
      </c>
      <c r="AH11">
        <v>19</v>
      </c>
      <c r="AI11">
        <v>474.5</v>
      </c>
      <c r="AJ11">
        <v>650.9</v>
      </c>
      <c r="AK11">
        <v>0.24152173900000001</v>
      </c>
      <c r="AL11">
        <v>0.24989130400000001</v>
      </c>
      <c r="AM11">
        <v>2.9801821830000002</v>
      </c>
      <c r="AN11">
        <v>2.6798281159999999</v>
      </c>
    </row>
    <row r="12" spans="1:40" x14ac:dyDescent="0.2">
      <c r="A12">
        <v>1980</v>
      </c>
      <c r="B12">
        <v>170</v>
      </c>
      <c r="C12">
        <v>17</v>
      </c>
      <c r="D12">
        <v>125.2387097</v>
      </c>
      <c r="E12">
        <v>154.16964290000001</v>
      </c>
      <c r="F12">
        <v>194.48837209999999</v>
      </c>
      <c r="G12">
        <v>4.1673876669999999</v>
      </c>
      <c r="H12">
        <v>62.383256760000002</v>
      </c>
      <c r="I12">
        <v>2.3281320000000001E-2</v>
      </c>
      <c r="J12">
        <v>0.216783217</v>
      </c>
      <c r="K12">
        <v>29.660427290000001</v>
      </c>
      <c r="L12">
        <v>4.4945001999999998E-2</v>
      </c>
      <c r="M12">
        <v>0.54871794900000004</v>
      </c>
      <c r="N12">
        <v>17.688839689999998</v>
      </c>
      <c r="O12">
        <v>9.3759086000000005E-2</v>
      </c>
      <c r="P12">
        <v>0.35245901600000001</v>
      </c>
      <c r="Q12">
        <v>0.31484826900000001</v>
      </c>
      <c r="R12">
        <v>0.73148928899999999</v>
      </c>
      <c r="S12">
        <v>0.58454955600000003</v>
      </c>
      <c r="T12">
        <v>1.496935203</v>
      </c>
      <c r="U12">
        <v>2.5869776729999998</v>
      </c>
      <c r="V12">
        <v>1.1764706E-2</v>
      </c>
      <c r="W12">
        <v>8.4858293000000001E-2</v>
      </c>
      <c r="X12">
        <v>4.2429147E-2</v>
      </c>
      <c r="Y12">
        <v>8.3647058820000009</v>
      </c>
      <c r="Z12">
        <v>15.72</v>
      </c>
      <c r="AA12">
        <v>13.38043478</v>
      </c>
      <c r="AB12">
        <v>13.04076087</v>
      </c>
      <c r="AC12">
        <v>0.22785172300000001</v>
      </c>
      <c r="AD12">
        <v>0.22959085300000001</v>
      </c>
      <c r="AE12">
        <v>-3.7577777779999999</v>
      </c>
      <c r="AF12">
        <v>-8.0377777780000006</v>
      </c>
      <c r="AG12">
        <v>9</v>
      </c>
      <c r="AH12">
        <v>13</v>
      </c>
      <c r="AI12">
        <v>529.6</v>
      </c>
      <c r="AJ12">
        <v>474.5</v>
      </c>
      <c r="AK12">
        <v>-0.60309782599999995</v>
      </c>
      <c r="AL12">
        <v>0.24152173900000001</v>
      </c>
      <c r="AM12">
        <v>1.0238695609999999</v>
      </c>
      <c r="AN12">
        <v>3.182806646</v>
      </c>
    </row>
    <row r="13" spans="1:40" x14ac:dyDescent="0.2">
      <c r="A13">
        <v>1981</v>
      </c>
      <c r="B13">
        <v>126</v>
      </c>
      <c r="C13">
        <v>13</v>
      </c>
      <c r="D13">
        <v>124.8235294</v>
      </c>
      <c r="E13">
        <v>152.22941180000001</v>
      </c>
      <c r="F13">
        <v>188.0492611</v>
      </c>
      <c r="G13">
        <v>6.7019547900000003</v>
      </c>
      <c r="H13">
        <v>11.17541574</v>
      </c>
      <c r="I13">
        <v>2.3037920999999999E-2</v>
      </c>
      <c r="J13">
        <v>2.0689655000000001E-2</v>
      </c>
      <c r="K13">
        <v>17.072874550000002</v>
      </c>
      <c r="L13">
        <v>4.3179038000000003E-2</v>
      </c>
      <c r="M13">
        <v>0.45392491499999998</v>
      </c>
      <c r="N13">
        <v>13.20054857</v>
      </c>
      <c r="O13">
        <v>8.4281974999999995E-2</v>
      </c>
      <c r="P13">
        <v>0.59036144599999996</v>
      </c>
      <c r="Q13">
        <v>5.3267239999999997E-3</v>
      </c>
      <c r="R13">
        <v>0.33462904300000001</v>
      </c>
      <c r="S13">
        <v>0.65681743100000001</v>
      </c>
      <c r="T13">
        <v>1.6308871140000001</v>
      </c>
      <c r="U13">
        <v>1.496935203</v>
      </c>
      <c r="V13">
        <v>1.5873016E-2</v>
      </c>
      <c r="W13">
        <v>0.10924919800000001</v>
      </c>
      <c r="X13">
        <v>9.7053745999999996E-2</v>
      </c>
      <c r="Y13">
        <v>15.92857143</v>
      </c>
      <c r="Z13">
        <v>15.008333329999999</v>
      </c>
      <c r="AA13">
        <v>13.565217390000001</v>
      </c>
      <c r="AB13">
        <v>13.38043478</v>
      </c>
      <c r="AC13">
        <v>0.127851723</v>
      </c>
      <c r="AD13">
        <v>0.22785172300000001</v>
      </c>
      <c r="AE13">
        <v>-5.7244444440000004</v>
      </c>
      <c r="AF13">
        <v>-3.7577777779999999</v>
      </c>
      <c r="AG13">
        <v>20</v>
      </c>
      <c r="AH13">
        <v>9</v>
      </c>
      <c r="AI13">
        <v>885.2</v>
      </c>
      <c r="AJ13">
        <v>529.6</v>
      </c>
      <c r="AK13">
        <v>-0.107336957</v>
      </c>
      <c r="AL13">
        <v>-0.60309782599999995</v>
      </c>
      <c r="AM13">
        <v>1.4132751349999999</v>
      </c>
      <c r="AN13">
        <v>2.010296522</v>
      </c>
    </row>
    <row r="14" spans="1:40" x14ac:dyDescent="0.2">
      <c r="A14">
        <v>1982</v>
      </c>
      <c r="B14">
        <v>280</v>
      </c>
      <c r="C14">
        <v>28</v>
      </c>
      <c r="D14">
        <v>128.20487800000001</v>
      </c>
      <c r="E14">
        <v>155.45205480000001</v>
      </c>
      <c r="F14">
        <v>188.96678969999999</v>
      </c>
      <c r="G14">
        <v>27.09335544</v>
      </c>
      <c r="H14">
        <v>24.412007330000002</v>
      </c>
      <c r="I14">
        <v>2.5071647999999998E-2</v>
      </c>
      <c r="J14">
        <v>4.7493404000000003E-2</v>
      </c>
      <c r="K14">
        <v>15.404368659999999</v>
      </c>
      <c r="L14">
        <v>4.6138960999999999E-2</v>
      </c>
      <c r="M14">
        <v>0.35172413800000002</v>
      </c>
      <c r="N14">
        <v>30.958125710000001</v>
      </c>
      <c r="O14">
        <v>8.5590398999999998E-2</v>
      </c>
      <c r="P14">
        <v>0.53306613199999997</v>
      </c>
      <c r="Q14">
        <v>2.9068303E-2</v>
      </c>
      <c r="R14">
        <v>0.249984963</v>
      </c>
      <c r="S14">
        <v>1.412475098</v>
      </c>
      <c r="T14">
        <v>0.99677319799999997</v>
      </c>
      <c r="U14">
        <v>1.6308871140000001</v>
      </c>
      <c r="V14">
        <v>8.9285714000000002E-2</v>
      </c>
      <c r="W14">
        <v>0.27460407100000001</v>
      </c>
      <c r="X14">
        <v>0.19192663400000001</v>
      </c>
      <c r="Y14">
        <v>27.164285710000001</v>
      </c>
      <c r="Z14">
        <v>7.3413333329999997</v>
      </c>
      <c r="AA14">
        <v>12.875543479999999</v>
      </c>
      <c r="AB14">
        <v>13.565217390000001</v>
      </c>
      <c r="AC14">
        <v>-2.2026250000000002E-3</v>
      </c>
      <c r="AD14">
        <v>0.127851723</v>
      </c>
      <c r="AE14">
        <v>-6.5177777780000001</v>
      </c>
      <c r="AF14">
        <v>-5.7244444440000004</v>
      </c>
      <c r="AG14">
        <v>16</v>
      </c>
      <c r="AH14">
        <v>20</v>
      </c>
      <c r="AI14">
        <v>1397.9</v>
      </c>
      <c r="AJ14">
        <v>885.2</v>
      </c>
      <c r="AK14">
        <v>9.2554347999999995E-2</v>
      </c>
      <c r="AL14">
        <v>-0.107336957</v>
      </c>
      <c r="AM14">
        <v>3.3025205299999998</v>
      </c>
      <c r="AN14">
        <v>2.7059510069999999</v>
      </c>
    </row>
    <row r="15" spans="1:40" x14ac:dyDescent="0.2">
      <c r="A15">
        <v>1983</v>
      </c>
      <c r="B15">
        <v>198</v>
      </c>
      <c r="C15">
        <v>20</v>
      </c>
      <c r="D15">
        <v>128.35582819999999</v>
      </c>
      <c r="E15">
        <v>158.35185190000001</v>
      </c>
      <c r="F15">
        <v>193.75333330000001</v>
      </c>
      <c r="G15">
        <v>19.642128840000002</v>
      </c>
      <c r="H15">
        <v>15.53111213</v>
      </c>
      <c r="I15">
        <v>2.5165197E-2</v>
      </c>
      <c r="J15">
        <v>1.2195121999999999E-2</v>
      </c>
      <c r="K15">
        <v>9.5241795650000007</v>
      </c>
      <c r="L15">
        <v>4.8918401E-2</v>
      </c>
      <c r="M15">
        <v>0.28499999999999998</v>
      </c>
      <c r="N15">
        <v>9.8227562820000003</v>
      </c>
      <c r="O15">
        <v>9.2642156000000003E-2</v>
      </c>
      <c r="P15">
        <v>0.41176470599999998</v>
      </c>
      <c r="Q15">
        <v>4.7663840000000002E-3</v>
      </c>
      <c r="R15">
        <v>0.13278367499999999</v>
      </c>
      <c r="S15">
        <v>0.37470642599999998</v>
      </c>
      <c r="T15">
        <v>1.6915283640000001</v>
      </c>
      <c r="U15">
        <v>0.99677319799999997</v>
      </c>
      <c r="V15">
        <v>5.0505051000000002E-2</v>
      </c>
      <c r="W15">
        <v>0.39480231700000001</v>
      </c>
      <c r="X15">
        <v>0.33470319399999998</v>
      </c>
      <c r="Y15">
        <v>83.474747469999997</v>
      </c>
      <c r="Z15">
        <v>9.4383333329999992</v>
      </c>
      <c r="AA15">
        <v>13.649456519999999</v>
      </c>
      <c r="AB15">
        <v>12.875543479999999</v>
      </c>
      <c r="AC15">
        <v>0.27948215799999998</v>
      </c>
      <c r="AD15">
        <v>-2.2026250000000002E-3</v>
      </c>
      <c r="AE15">
        <v>-1.3244444440000001</v>
      </c>
      <c r="AF15">
        <v>-6.5177777780000001</v>
      </c>
      <c r="AG15">
        <v>10</v>
      </c>
      <c r="AH15">
        <v>16</v>
      </c>
      <c r="AI15">
        <v>644.4</v>
      </c>
      <c r="AJ15">
        <v>1397.9</v>
      </c>
      <c r="AK15">
        <v>0.64282608699999999</v>
      </c>
      <c r="AL15">
        <v>9.2554347999999995E-2</v>
      </c>
      <c r="AM15">
        <v>2.4520442130000002</v>
      </c>
      <c r="AN15">
        <v>2.7460772659999999</v>
      </c>
    </row>
    <row r="16" spans="1:40" x14ac:dyDescent="0.2">
      <c r="A16">
        <v>1984</v>
      </c>
      <c r="B16">
        <v>163</v>
      </c>
      <c r="C16">
        <v>17</v>
      </c>
      <c r="D16">
        <v>119.17924530000001</v>
      </c>
      <c r="E16">
        <v>145.74285710000001</v>
      </c>
      <c r="F16">
        <v>187.39344259999999</v>
      </c>
      <c r="G16">
        <v>22.947635510000001</v>
      </c>
      <c r="H16">
        <v>44.897464309999997</v>
      </c>
      <c r="I16">
        <v>1.9899400000000001E-2</v>
      </c>
      <c r="J16">
        <v>0.50943396200000002</v>
      </c>
      <c r="K16">
        <v>9.0786116060000008</v>
      </c>
      <c r="L16">
        <v>3.7619995000000003E-2</v>
      </c>
      <c r="M16">
        <v>0.54545454500000001</v>
      </c>
      <c r="N16">
        <v>7.4627916389999998</v>
      </c>
      <c r="O16">
        <v>8.3355187999999997E-2</v>
      </c>
      <c r="P16">
        <v>0.39568345300000002</v>
      </c>
      <c r="Q16">
        <v>0.45514491499999998</v>
      </c>
      <c r="R16">
        <v>0.186293083</v>
      </c>
      <c r="S16">
        <v>0.24613979699999999</v>
      </c>
      <c r="T16">
        <v>0.51225648499999998</v>
      </c>
      <c r="U16">
        <v>1.6915283640000001</v>
      </c>
      <c r="V16">
        <v>3.6809816000000002E-2</v>
      </c>
      <c r="W16">
        <v>1.1251966419999999</v>
      </c>
      <c r="X16">
        <v>0.75999947899999998</v>
      </c>
      <c r="Y16">
        <v>5.0981595090000003</v>
      </c>
      <c r="Z16">
        <v>9.3670000000000009</v>
      </c>
      <c r="AA16">
        <v>13.47771739</v>
      </c>
      <c r="AB16">
        <v>13.649456519999999</v>
      </c>
      <c r="AC16">
        <v>0.31127563600000002</v>
      </c>
      <c r="AD16">
        <v>0.27948215799999998</v>
      </c>
      <c r="AE16">
        <v>-5.6044444440000003</v>
      </c>
      <c r="AF16">
        <v>-1.3244444440000001</v>
      </c>
      <c r="AG16">
        <v>23</v>
      </c>
      <c r="AH16">
        <v>10</v>
      </c>
      <c r="AI16">
        <v>763.3</v>
      </c>
      <c r="AJ16">
        <v>644.4</v>
      </c>
      <c r="AK16">
        <v>9.6467391E-2</v>
      </c>
      <c r="AL16">
        <v>0.64282608699999999</v>
      </c>
      <c r="AM16">
        <v>3.8021447359999998</v>
      </c>
      <c r="AN16">
        <v>3.2787488410000001</v>
      </c>
    </row>
    <row r="17" spans="1:40" x14ac:dyDescent="0.2">
      <c r="A17">
        <v>1985</v>
      </c>
      <c r="B17">
        <v>138</v>
      </c>
      <c r="C17">
        <v>14</v>
      </c>
      <c r="D17">
        <v>118.9058824</v>
      </c>
      <c r="E17">
        <v>147.13496929999999</v>
      </c>
      <c r="F17">
        <v>184.6231884</v>
      </c>
      <c r="G17">
        <v>14.13476438</v>
      </c>
      <c r="H17">
        <v>15.76962368</v>
      </c>
      <c r="I17">
        <v>1.9755297000000002E-2</v>
      </c>
      <c r="J17">
        <v>4.6242775E-2</v>
      </c>
      <c r="K17">
        <v>6.8047675950000004</v>
      </c>
      <c r="L17">
        <v>3.8769109000000003E-2</v>
      </c>
      <c r="M17">
        <v>0.46180555600000001</v>
      </c>
      <c r="N17">
        <v>3.1170213019999999</v>
      </c>
      <c r="O17">
        <v>7.9517177999999994E-2</v>
      </c>
      <c r="P17">
        <v>0.36170212800000001</v>
      </c>
      <c r="Q17">
        <v>1.4406178E-2</v>
      </c>
      <c r="R17">
        <v>0.12183113</v>
      </c>
      <c r="S17">
        <v>8.9650309999999997E-2</v>
      </c>
      <c r="T17">
        <v>0.887577795</v>
      </c>
      <c r="U17">
        <v>0.51225648499999998</v>
      </c>
      <c r="V17">
        <v>0.21739130400000001</v>
      </c>
      <c r="W17">
        <v>2.6394808630000002</v>
      </c>
      <c r="X17">
        <v>1.8823387519999999</v>
      </c>
      <c r="Y17">
        <v>1.971014493</v>
      </c>
      <c r="Z17">
        <v>19.464333329999999</v>
      </c>
      <c r="AA17">
        <v>14.50217391</v>
      </c>
      <c r="AB17">
        <v>13.47771739</v>
      </c>
      <c r="AC17">
        <v>0.55752563600000005</v>
      </c>
      <c r="AD17">
        <v>0.31127563600000002</v>
      </c>
      <c r="AE17">
        <v>-5.1211111110000003</v>
      </c>
      <c r="AF17">
        <v>-5.6044444440000003</v>
      </c>
      <c r="AG17">
        <v>11</v>
      </c>
      <c r="AH17">
        <v>23</v>
      </c>
      <c r="AI17">
        <v>1356.7</v>
      </c>
      <c r="AJ17">
        <v>763.3</v>
      </c>
      <c r="AK17">
        <v>-2.445652E-3</v>
      </c>
      <c r="AL17">
        <v>9.6467391E-2</v>
      </c>
      <c r="AM17">
        <v>2.7678964260000001</v>
      </c>
      <c r="AN17">
        <v>3.427015371</v>
      </c>
    </row>
    <row r="18" spans="1:40" x14ac:dyDescent="0.2">
      <c r="A18">
        <v>1986</v>
      </c>
      <c r="B18">
        <v>349.5</v>
      </c>
      <c r="C18">
        <v>39</v>
      </c>
      <c r="D18">
        <v>121.6368715</v>
      </c>
      <c r="E18">
        <v>146.95890410000001</v>
      </c>
      <c r="F18">
        <v>182.6116505</v>
      </c>
      <c r="G18">
        <v>11.204577970000001</v>
      </c>
      <c r="H18">
        <v>4.8569930929999998</v>
      </c>
      <c r="I18">
        <v>2.1227383999999998E-2</v>
      </c>
      <c r="J18">
        <v>0.54078549799999998</v>
      </c>
      <c r="K18">
        <v>7.8734530239999998</v>
      </c>
      <c r="L18">
        <v>3.8622469E-2</v>
      </c>
      <c r="M18">
        <v>0.58870967699999999</v>
      </c>
      <c r="N18">
        <v>20.196592509999999</v>
      </c>
      <c r="O18">
        <v>7.6807323999999996E-2</v>
      </c>
      <c r="P18">
        <v>0.48351648400000002</v>
      </c>
      <c r="Q18">
        <v>5.5755665000000003E-2</v>
      </c>
      <c r="R18">
        <v>0.17902201600000001</v>
      </c>
      <c r="S18">
        <v>0.75005312000000002</v>
      </c>
      <c r="T18">
        <v>0.22588761800000001</v>
      </c>
      <c r="U18">
        <v>0.887577795</v>
      </c>
      <c r="V18">
        <v>0.183118741</v>
      </c>
      <c r="W18">
        <v>4.1986374050000004</v>
      </c>
      <c r="X18">
        <v>3.4190591339999998</v>
      </c>
      <c r="Y18">
        <v>26.04577969</v>
      </c>
      <c r="Z18">
        <v>21.399666669999998</v>
      </c>
      <c r="AA18">
        <v>14.10543478</v>
      </c>
      <c r="AB18">
        <v>14.50217391</v>
      </c>
      <c r="AC18">
        <v>0.67622128800000003</v>
      </c>
      <c r="AD18">
        <v>0.55752563600000005</v>
      </c>
      <c r="AE18">
        <v>-5.7688888890000003</v>
      </c>
      <c r="AF18">
        <v>-5.1211111110000003</v>
      </c>
      <c r="AG18">
        <v>22</v>
      </c>
      <c r="AH18">
        <v>11</v>
      </c>
      <c r="AI18">
        <v>1287.3</v>
      </c>
      <c r="AJ18">
        <v>1356.7</v>
      </c>
      <c r="AK18">
        <v>0.37059782600000002</v>
      </c>
      <c r="AL18">
        <v>-2.445652E-3</v>
      </c>
      <c r="AM18">
        <v>3.904040111</v>
      </c>
      <c r="AN18">
        <v>1.699678646</v>
      </c>
    </row>
    <row r="19" spans="1:40" x14ac:dyDescent="0.2">
      <c r="A19">
        <v>1987</v>
      </c>
      <c r="B19">
        <v>587.5</v>
      </c>
      <c r="C19">
        <v>65</v>
      </c>
      <c r="D19">
        <v>123.1595092</v>
      </c>
      <c r="E19">
        <v>147.14788730000001</v>
      </c>
      <c r="F19">
        <v>186.4154412</v>
      </c>
      <c r="G19">
        <v>17.732765959999998</v>
      </c>
      <c r="H19">
        <v>6.0926656430000001</v>
      </c>
      <c r="I19">
        <v>2.2079847E-2</v>
      </c>
      <c r="J19">
        <v>0.281396231</v>
      </c>
      <c r="K19">
        <v>14.12355943</v>
      </c>
      <c r="L19">
        <v>3.8779883000000001E-2</v>
      </c>
      <c r="M19">
        <v>0.50853320999999996</v>
      </c>
      <c r="N19">
        <v>13.90292386</v>
      </c>
      <c r="O19">
        <v>8.1986085E-2</v>
      </c>
      <c r="P19">
        <v>0.44393104700000002</v>
      </c>
      <c r="Q19">
        <v>3.7854862000000003E-2</v>
      </c>
      <c r="R19">
        <v>0.27852871800000001</v>
      </c>
      <c r="S19">
        <v>0.50601316100000004</v>
      </c>
      <c r="T19">
        <v>0.98483080099999998</v>
      </c>
      <c r="U19">
        <v>0.22588761800000001</v>
      </c>
      <c r="V19">
        <v>0.236595745</v>
      </c>
      <c r="W19">
        <v>6.5289123739999999</v>
      </c>
      <c r="X19">
        <v>5.3637748890000001</v>
      </c>
      <c r="Y19">
        <v>14.12425532</v>
      </c>
      <c r="Z19">
        <v>25.40666667</v>
      </c>
      <c r="AA19">
        <v>15.285869569999999</v>
      </c>
      <c r="AB19">
        <v>14.10543478</v>
      </c>
      <c r="AC19">
        <v>0.43421041799999999</v>
      </c>
      <c r="AD19">
        <v>0.67622128800000003</v>
      </c>
      <c r="AE19">
        <v>-2.7166666670000001</v>
      </c>
      <c r="AF19">
        <v>-5.7688888890000003</v>
      </c>
      <c r="AG19">
        <v>7</v>
      </c>
      <c r="AH19">
        <v>22</v>
      </c>
      <c r="AI19">
        <v>442.5</v>
      </c>
      <c r="AJ19">
        <v>1287.3</v>
      </c>
      <c r="AK19">
        <v>0.16581521699999999</v>
      </c>
      <c r="AL19">
        <v>0.37059782600000002</v>
      </c>
      <c r="AM19">
        <v>2.89069954</v>
      </c>
      <c r="AN19">
        <v>3.2948033630000002</v>
      </c>
    </row>
    <row r="20" spans="1:40" x14ac:dyDescent="0.2">
      <c r="A20">
        <v>1988</v>
      </c>
      <c r="B20">
        <v>492.5</v>
      </c>
      <c r="C20">
        <v>56</v>
      </c>
      <c r="D20">
        <v>125.44047620000001</v>
      </c>
      <c r="E20">
        <v>149.75675680000001</v>
      </c>
      <c r="F20">
        <v>186.57073170000001</v>
      </c>
      <c r="G20">
        <v>20.349238580000002</v>
      </c>
      <c r="H20">
        <v>1.8464229839999999</v>
      </c>
      <c r="I20">
        <v>2.3400239E-2</v>
      </c>
      <c r="J20">
        <v>0.281396231</v>
      </c>
      <c r="K20">
        <v>9.5068065550000007</v>
      </c>
      <c r="L20">
        <v>4.0998034000000003E-2</v>
      </c>
      <c r="M20">
        <v>0.50853320999999996</v>
      </c>
      <c r="N20">
        <v>14.56758803</v>
      </c>
      <c r="O20">
        <v>8.2202441000000001E-2</v>
      </c>
      <c r="P20">
        <v>0.44393104700000002</v>
      </c>
      <c r="Q20">
        <v>1.2158212999999999E-2</v>
      </c>
      <c r="R20">
        <v>0.198206095</v>
      </c>
      <c r="S20">
        <v>0.53160356399999997</v>
      </c>
      <c r="T20">
        <v>0.82239674100000004</v>
      </c>
      <c r="U20">
        <v>0.98483080099999998</v>
      </c>
      <c r="V20">
        <v>0.21928934</v>
      </c>
      <c r="W20">
        <v>7.3390500349999996</v>
      </c>
      <c r="X20">
        <v>6.9339812050000003</v>
      </c>
      <c r="Y20">
        <v>39.709644670000003</v>
      </c>
      <c r="Z20">
        <v>18.696333330000002</v>
      </c>
      <c r="AA20">
        <v>15.0798913</v>
      </c>
      <c r="AB20">
        <v>15.285869569999999</v>
      </c>
      <c r="AC20">
        <v>1.7362592E-2</v>
      </c>
      <c r="AD20">
        <v>0.43421041799999999</v>
      </c>
      <c r="AE20">
        <v>-4.1511111109999996</v>
      </c>
      <c r="AF20">
        <v>-2.7166666670000001</v>
      </c>
      <c r="AG20">
        <v>10</v>
      </c>
      <c r="AH20">
        <v>7</v>
      </c>
      <c r="AI20">
        <v>660</v>
      </c>
      <c r="AJ20">
        <v>442.5</v>
      </c>
      <c r="AK20">
        <v>-2.2010869999999998E-2</v>
      </c>
      <c r="AL20">
        <v>0.16581521699999999</v>
      </c>
      <c r="AM20">
        <v>3.208575841</v>
      </c>
      <c r="AN20">
        <v>0.62853567300000002</v>
      </c>
    </row>
    <row r="21" spans="1:40" x14ac:dyDescent="0.2">
      <c r="A21">
        <v>1989</v>
      </c>
      <c r="B21">
        <v>150</v>
      </c>
      <c r="C21">
        <v>15</v>
      </c>
      <c r="D21">
        <v>122.737931</v>
      </c>
      <c r="E21">
        <v>148.7333333</v>
      </c>
      <c r="F21">
        <v>188.2933333</v>
      </c>
      <c r="G21">
        <v>50.246611799999997</v>
      </c>
      <c r="H21">
        <v>3.2652974669999999</v>
      </c>
      <c r="I21">
        <v>2.1841520999999999E-2</v>
      </c>
      <c r="J21">
        <v>0.281396231</v>
      </c>
      <c r="K21">
        <v>10.811394979999999</v>
      </c>
      <c r="L21">
        <v>4.0117817E-2</v>
      </c>
      <c r="M21">
        <v>0.50853320999999996</v>
      </c>
      <c r="N21">
        <v>15.58335089</v>
      </c>
      <c r="O21">
        <v>8.4628683999999996E-2</v>
      </c>
      <c r="P21">
        <v>0.44393104700000002</v>
      </c>
      <c r="Q21">
        <v>2.0068915999999999E-2</v>
      </c>
      <c r="R21">
        <v>0.22056588899999999</v>
      </c>
      <c r="S21">
        <v>0.58545558799999997</v>
      </c>
      <c r="T21">
        <v>0.741967873</v>
      </c>
      <c r="U21">
        <v>0.82239674100000004</v>
      </c>
      <c r="V21">
        <v>0.26</v>
      </c>
      <c r="W21">
        <v>8.0627395699999997</v>
      </c>
      <c r="X21">
        <v>7.7008948029999997</v>
      </c>
      <c r="Y21">
        <v>22.606666669999999</v>
      </c>
      <c r="Z21">
        <v>14.970333330000001</v>
      </c>
      <c r="AA21">
        <v>13.3923913</v>
      </c>
      <c r="AB21">
        <v>15.0798913</v>
      </c>
      <c r="AC21">
        <v>-0.140680886</v>
      </c>
      <c r="AD21">
        <v>1.7362592E-2</v>
      </c>
      <c r="AE21">
        <v>-3.7311111110000001</v>
      </c>
      <c r="AF21">
        <v>-4.1511111109999996</v>
      </c>
      <c r="AG21">
        <v>14</v>
      </c>
      <c r="AH21">
        <v>10</v>
      </c>
      <c r="AI21">
        <v>529.5</v>
      </c>
      <c r="AJ21">
        <v>660</v>
      </c>
      <c r="AK21">
        <v>0.71092391300000002</v>
      </c>
      <c r="AL21">
        <v>-2.2010869999999998E-2</v>
      </c>
      <c r="AM21">
        <v>4.2153924529999998</v>
      </c>
      <c r="AN21">
        <v>1.3788832129999999</v>
      </c>
    </row>
    <row r="22" spans="1:40" x14ac:dyDescent="0.2">
      <c r="A22">
        <v>1990</v>
      </c>
      <c r="B22">
        <v>150</v>
      </c>
      <c r="C22">
        <v>15</v>
      </c>
      <c r="D22">
        <v>127.5466667</v>
      </c>
      <c r="E22">
        <v>156.9</v>
      </c>
      <c r="F22">
        <v>194.13170729999999</v>
      </c>
      <c r="G22">
        <v>7.72</v>
      </c>
      <c r="H22">
        <v>9.3081719330000006</v>
      </c>
      <c r="I22">
        <v>2.4666510999999999E-2</v>
      </c>
      <c r="J22">
        <v>0.281396231</v>
      </c>
      <c r="K22">
        <v>2.1600575329999998</v>
      </c>
      <c r="L22">
        <v>4.7512907E-2</v>
      </c>
      <c r="M22">
        <v>0.50853320999999996</v>
      </c>
      <c r="N22">
        <v>4.6317681329999996</v>
      </c>
      <c r="O22">
        <v>9.3215970999999995E-2</v>
      </c>
      <c r="P22">
        <v>0.44393104700000002</v>
      </c>
      <c r="Q22">
        <v>6.4608610999999996E-2</v>
      </c>
      <c r="R22">
        <v>5.2191075000000003E-2</v>
      </c>
      <c r="S22">
        <v>0.19166934499999999</v>
      </c>
      <c r="T22">
        <v>0.82609039299999998</v>
      </c>
      <c r="U22">
        <v>0.741967873</v>
      </c>
      <c r="V22">
        <v>0.133333333</v>
      </c>
      <c r="W22">
        <v>7.3901507840000003</v>
      </c>
      <c r="X22">
        <v>7.7264451770000004</v>
      </c>
      <c r="Y22">
        <v>1.713333333</v>
      </c>
      <c r="Z22">
        <v>11.99314397</v>
      </c>
      <c r="AA22">
        <v>13.8826087</v>
      </c>
      <c r="AB22">
        <v>13.3923913</v>
      </c>
      <c r="AC22">
        <v>-0.23867001600000001</v>
      </c>
      <c r="AD22">
        <v>-0.140680886</v>
      </c>
      <c r="AE22">
        <v>-4.3266666669999996</v>
      </c>
      <c r="AF22">
        <v>-3.7311111110000001</v>
      </c>
      <c r="AG22">
        <v>26</v>
      </c>
      <c r="AH22">
        <v>14</v>
      </c>
      <c r="AI22">
        <v>547.1</v>
      </c>
      <c r="AJ22">
        <v>529.5</v>
      </c>
      <c r="AK22">
        <v>0.56374999999999997</v>
      </c>
      <c r="AL22">
        <v>0.71092391300000002</v>
      </c>
      <c r="AM22">
        <v>2.2348654410000002</v>
      </c>
      <c r="AN22">
        <v>2.5293420520000001</v>
      </c>
    </row>
    <row r="23" spans="1:40" x14ac:dyDescent="0.2">
      <c r="A23">
        <v>1991</v>
      </c>
      <c r="B23">
        <v>130</v>
      </c>
      <c r="C23">
        <v>13</v>
      </c>
      <c r="D23">
        <v>127.5606061</v>
      </c>
      <c r="E23">
        <v>155.0967742</v>
      </c>
      <c r="F23">
        <v>203.85873609999999</v>
      </c>
      <c r="G23">
        <v>18.015384619999999</v>
      </c>
      <c r="H23">
        <v>2.256463444</v>
      </c>
      <c r="I23">
        <v>2.4675045E-2</v>
      </c>
      <c r="J23">
        <v>0.38655462200000001</v>
      </c>
      <c r="K23">
        <v>4.4906586529999997</v>
      </c>
      <c r="L23">
        <v>4.5806039E-2</v>
      </c>
      <c r="M23">
        <v>0.55555555599999995</v>
      </c>
      <c r="N23">
        <v>6.5528722100000003</v>
      </c>
      <c r="O23">
        <v>0.108815888</v>
      </c>
      <c r="P23">
        <v>0.55012853500000003</v>
      </c>
      <c r="Q23">
        <v>2.1522718E-2</v>
      </c>
      <c r="R23">
        <v>0.114277382</v>
      </c>
      <c r="S23">
        <v>0.39227278700000001</v>
      </c>
      <c r="T23">
        <v>0.30846903199999998</v>
      </c>
      <c r="U23">
        <v>0.82609039299999998</v>
      </c>
      <c r="V23">
        <v>0.669230769</v>
      </c>
      <c r="W23">
        <v>13.937363169999999</v>
      </c>
      <c r="X23">
        <v>10.66375697</v>
      </c>
      <c r="Y23">
        <v>14.65384615</v>
      </c>
      <c r="Z23">
        <v>11.421452629999999</v>
      </c>
      <c r="AA23">
        <v>15.436956520000001</v>
      </c>
      <c r="AB23">
        <v>13.8826087</v>
      </c>
      <c r="AC23">
        <v>-6.4104799000000004E-2</v>
      </c>
      <c r="AD23">
        <v>-0.23867001600000001</v>
      </c>
      <c r="AE23">
        <v>-3.5088888890000001</v>
      </c>
      <c r="AF23">
        <v>-4.3266666669999996</v>
      </c>
      <c r="AG23">
        <v>8</v>
      </c>
      <c r="AH23">
        <v>26</v>
      </c>
      <c r="AI23">
        <v>1103.5999999999999</v>
      </c>
      <c r="AJ23">
        <v>547.1</v>
      </c>
      <c r="AK23">
        <v>1.8043478000000002E-2</v>
      </c>
      <c r="AL23">
        <v>0.56374999999999997</v>
      </c>
      <c r="AM23">
        <v>4.0673599170000001</v>
      </c>
      <c r="AN23">
        <v>1.004849817</v>
      </c>
    </row>
    <row r="24" spans="1:40" x14ac:dyDescent="0.2">
      <c r="A24">
        <v>1992</v>
      </c>
      <c r="B24">
        <v>360</v>
      </c>
      <c r="C24">
        <v>36</v>
      </c>
      <c r="D24">
        <v>126.93684210000001</v>
      </c>
      <c r="E24">
        <v>159.68085110000001</v>
      </c>
      <c r="F24">
        <v>195.10606060000001</v>
      </c>
      <c r="G24">
        <v>0.95276198899999998</v>
      </c>
      <c r="H24">
        <v>5.085833321</v>
      </c>
      <c r="I24">
        <v>2.4295174999999999E-2</v>
      </c>
      <c r="J24">
        <v>0.281396231</v>
      </c>
      <c r="K24">
        <v>1.240452122</v>
      </c>
      <c r="L24">
        <v>5.0229658000000003E-2</v>
      </c>
      <c r="M24">
        <v>0.50853320999999996</v>
      </c>
      <c r="N24">
        <v>1.9876174289999999</v>
      </c>
      <c r="O24">
        <v>9.4704789999999997E-2</v>
      </c>
      <c r="P24">
        <v>0.44393104700000002</v>
      </c>
      <c r="Q24">
        <v>3.4769659000000001E-2</v>
      </c>
      <c r="R24">
        <v>3.1685426000000003E-2</v>
      </c>
      <c r="S24">
        <v>8.3564200000000005E-2</v>
      </c>
      <c r="T24">
        <v>0.52807288699999999</v>
      </c>
      <c r="U24">
        <v>0.30846903199999998</v>
      </c>
      <c r="V24">
        <v>0.11388888899999999</v>
      </c>
      <c r="W24">
        <v>13.68624773</v>
      </c>
      <c r="X24">
        <v>13.81180545</v>
      </c>
      <c r="Y24">
        <v>32.238888889999998</v>
      </c>
      <c r="Z24">
        <v>17.942119300000002</v>
      </c>
      <c r="AA24">
        <v>12.42065217</v>
      </c>
      <c r="AB24">
        <v>15.436956520000001</v>
      </c>
      <c r="AC24">
        <v>-0.123778712</v>
      </c>
      <c r="AD24">
        <v>-6.4104799000000004E-2</v>
      </c>
      <c r="AE24">
        <v>-2.8133333330000001</v>
      </c>
      <c r="AF24">
        <v>-3.5088888890000001</v>
      </c>
      <c r="AG24">
        <v>13</v>
      </c>
      <c r="AH24">
        <v>8</v>
      </c>
      <c r="AI24">
        <v>583.5</v>
      </c>
      <c r="AJ24">
        <v>1103.5999999999999</v>
      </c>
      <c r="AK24">
        <v>1.095706522</v>
      </c>
      <c r="AL24">
        <v>1.8043478000000002E-2</v>
      </c>
      <c r="AM24">
        <v>0.59013080600000001</v>
      </c>
      <c r="AN24">
        <v>2.8025927180000001</v>
      </c>
    </row>
    <row r="25" spans="1:40" x14ac:dyDescent="0.2">
      <c r="A25">
        <v>1993</v>
      </c>
      <c r="B25">
        <v>330</v>
      </c>
      <c r="C25">
        <v>29</v>
      </c>
      <c r="D25">
        <v>132.4375</v>
      </c>
      <c r="E25">
        <v>169.2237762</v>
      </c>
      <c r="F25">
        <v>203.46363640000001</v>
      </c>
      <c r="G25">
        <v>0.16335443699999999</v>
      </c>
      <c r="H25">
        <v>0.296444763</v>
      </c>
      <c r="I25">
        <v>2.7786235999999999E-2</v>
      </c>
      <c r="J25">
        <v>0.46666666699999998</v>
      </c>
      <c r="K25">
        <v>3.2018055749999998</v>
      </c>
      <c r="L25">
        <v>6.0359449000000003E-2</v>
      </c>
      <c r="M25">
        <v>0.52678571399999996</v>
      </c>
      <c r="N25">
        <v>2.1838497700000001</v>
      </c>
      <c r="O25">
        <v>0.108149799</v>
      </c>
      <c r="P25">
        <v>0.493243243</v>
      </c>
      <c r="Q25">
        <v>3.8439730000000001E-3</v>
      </c>
      <c r="R25">
        <v>0.101806196</v>
      </c>
      <c r="S25">
        <v>0.116495627</v>
      </c>
      <c r="T25">
        <v>0.150019285</v>
      </c>
      <c r="U25">
        <v>0.52807288699999999</v>
      </c>
      <c r="V25">
        <v>0.154545455</v>
      </c>
      <c r="W25">
        <v>14.2201687</v>
      </c>
      <c r="X25">
        <v>13.95320822</v>
      </c>
      <c r="Y25">
        <v>29.757575760000002</v>
      </c>
      <c r="Z25">
        <v>16.721975319999999</v>
      </c>
      <c r="AA25">
        <v>13.715217389999999</v>
      </c>
      <c r="AB25">
        <v>12.42065217</v>
      </c>
      <c r="AC25">
        <v>0.11475389699999999</v>
      </c>
      <c r="AD25">
        <v>-0.123778712</v>
      </c>
      <c r="AE25">
        <v>-3.806666667</v>
      </c>
      <c r="AF25">
        <v>-2.8133333330000001</v>
      </c>
      <c r="AG25">
        <v>8</v>
      </c>
      <c r="AH25">
        <v>13</v>
      </c>
      <c r="AI25">
        <v>631.9</v>
      </c>
      <c r="AJ25">
        <v>583.5</v>
      </c>
      <c r="AK25">
        <v>-0.47211956500000002</v>
      </c>
      <c r="AL25">
        <v>1.095706522</v>
      </c>
      <c r="AM25">
        <v>8.5158445999999999E-2</v>
      </c>
      <c r="AN25">
        <v>-0.57737341200000003</v>
      </c>
    </row>
    <row r="26" spans="1:40" x14ac:dyDescent="0.2">
      <c r="A26">
        <v>1994</v>
      </c>
      <c r="B26">
        <v>320</v>
      </c>
      <c r="C26">
        <v>31</v>
      </c>
      <c r="D26">
        <v>149.41176469999999</v>
      </c>
      <c r="E26">
        <v>172.03125</v>
      </c>
      <c r="F26">
        <v>201.0241546</v>
      </c>
      <c r="G26">
        <v>0.44732949999999999</v>
      </c>
      <c r="H26">
        <v>0.14208821899999999</v>
      </c>
      <c r="I26">
        <v>4.0699855E-2</v>
      </c>
      <c r="J26">
        <v>0.625</v>
      </c>
      <c r="K26">
        <v>0.335747986</v>
      </c>
      <c r="L26">
        <v>6.3586107000000003E-2</v>
      </c>
      <c r="M26">
        <v>0.4</v>
      </c>
      <c r="N26">
        <v>1.693584295</v>
      </c>
      <c r="O26">
        <v>0.10409879</v>
      </c>
      <c r="P26">
        <v>0.47169811299999997</v>
      </c>
      <c r="Q26">
        <v>3.614356E-3</v>
      </c>
      <c r="R26">
        <v>8.539563E-3</v>
      </c>
      <c r="S26">
        <v>8.3160413000000002E-2</v>
      </c>
      <c r="T26">
        <v>0.22214579500000001</v>
      </c>
      <c r="U26">
        <v>0.150019285</v>
      </c>
      <c r="V26">
        <v>0.19375000000000001</v>
      </c>
      <c r="W26">
        <v>10.50418298</v>
      </c>
      <c r="X26">
        <v>12.362175840000001</v>
      </c>
      <c r="Y26">
        <v>5.9656250000000002</v>
      </c>
      <c r="Z26">
        <v>14.93566667</v>
      </c>
      <c r="AA26">
        <v>13.831521739999999</v>
      </c>
      <c r="AB26">
        <v>13.715217389999999</v>
      </c>
      <c r="AC26">
        <v>9.8177810000000004E-2</v>
      </c>
      <c r="AD26">
        <v>0.11475389699999999</v>
      </c>
      <c r="AE26">
        <v>-7.2633333330000003</v>
      </c>
      <c r="AF26">
        <v>-3.806666667</v>
      </c>
      <c r="AG26">
        <v>11</v>
      </c>
      <c r="AH26">
        <v>8</v>
      </c>
      <c r="AI26">
        <v>1012.8</v>
      </c>
      <c r="AJ26">
        <v>631.9</v>
      </c>
      <c r="AK26">
        <v>0.83467391300000005</v>
      </c>
      <c r="AL26">
        <v>-0.47211956500000002</v>
      </c>
      <c r="AM26">
        <v>0.69996155800000004</v>
      </c>
      <c r="AN26">
        <v>-5.4315728000000001E-2</v>
      </c>
    </row>
    <row r="27" spans="1:40" x14ac:dyDescent="0.2">
      <c r="A27">
        <v>1995</v>
      </c>
      <c r="B27">
        <v>384.8</v>
      </c>
      <c r="C27">
        <v>37</v>
      </c>
      <c r="D27">
        <v>143.29591840000001</v>
      </c>
      <c r="E27">
        <v>178.6875</v>
      </c>
      <c r="F27">
        <v>211.96491230000001</v>
      </c>
      <c r="G27">
        <v>10.418399170000001</v>
      </c>
      <c r="H27">
        <v>0.49788884799999999</v>
      </c>
      <c r="I27">
        <v>3.5657018999999998E-2</v>
      </c>
      <c r="J27">
        <v>0.53260869600000005</v>
      </c>
      <c r="K27">
        <v>0.16272360499999999</v>
      </c>
      <c r="L27">
        <v>7.1703944000000006E-2</v>
      </c>
      <c r="M27">
        <v>0.4</v>
      </c>
      <c r="N27">
        <v>0.65175760900000002</v>
      </c>
      <c r="O27">
        <v>0.12310918999999999</v>
      </c>
      <c r="P27">
        <v>0.35185185200000002</v>
      </c>
      <c r="Q27">
        <v>9.4555260000000006E-3</v>
      </c>
      <c r="R27">
        <v>4.66717E-3</v>
      </c>
      <c r="S27">
        <v>2.8231661000000002E-2</v>
      </c>
      <c r="T27">
        <v>9.5314333000000001E-2</v>
      </c>
      <c r="U27">
        <v>0.22214579500000001</v>
      </c>
      <c r="V27">
        <v>8.5758836000000005E-2</v>
      </c>
      <c r="W27">
        <v>11.505743000000001</v>
      </c>
      <c r="X27">
        <v>11.004962989999999</v>
      </c>
      <c r="Y27">
        <v>32.726091480000001</v>
      </c>
      <c r="Z27">
        <v>7.5069999999999997</v>
      </c>
      <c r="AA27">
        <v>14.865760870000001</v>
      </c>
      <c r="AB27">
        <v>13.831521739999999</v>
      </c>
      <c r="AC27">
        <v>-3.8778712E-2</v>
      </c>
      <c r="AD27">
        <v>9.8177810000000004E-2</v>
      </c>
      <c r="AE27">
        <v>-3.1688888890000002</v>
      </c>
      <c r="AF27">
        <v>-7.2633333330000003</v>
      </c>
      <c r="AG27">
        <v>10</v>
      </c>
      <c r="AH27">
        <v>11</v>
      </c>
      <c r="AI27">
        <v>393.3</v>
      </c>
      <c r="AJ27">
        <v>1012.8</v>
      </c>
      <c r="AK27">
        <v>-7.8641303999999995E-2</v>
      </c>
      <c r="AL27">
        <v>0.83467391300000005</v>
      </c>
      <c r="AM27">
        <v>4.6941484789999999</v>
      </c>
      <c r="AN27">
        <v>0.80704295500000001</v>
      </c>
    </row>
    <row r="28" spans="1:40" x14ac:dyDescent="0.2">
      <c r="A28">
        <v>1996</v>
      </c>
      <c r="B28">
        <v>306</v>
      </c>
      <c r="C28">
        <v>30</v>
      </c>
      <c r="D28">
        <v>139.97087379999999</v>
      </c>
      <c r="E28">
        <v>184.5757576</v>
      </c>
      <c r="F28">
        <v>217.89583329999999</v>
      </c>
      <c r="G28">
        <v>4.5947712420000002</v>
      </c>
      <c r="H28">
        <v>2.0611956669999998</v>
      </c>
      <c r="I28">
        <v>3.3103524000000002E-2</v>
      </c>
      <c r="J28">
        <v>0.49758454099999999</v>
      </c>
      <c r="K28">
        <v>0.43022364899999999</v>
      </c>
      <c r="L28">
        <v>7.9452540000000002E-2</v>
      </c>
      <c r="M28">
        <v>0.53225806499999995</v>
      </c>
      <c r="N28">
        <v>0.60335048800000002</v>
      </c>
      <c r="O28">
        <v>0.134345412</v>
      </c>
      <c r="P28">
        <v>0.424778761</v>
      </c>
      <c r="Q28">
        <v>3.3951606000000002E-2</v>
      </c>
      <c r="R28">
        <v>1.8193838E-2</v>
      </c>
      <c r="S28">
        <v>3.4431449000000003E-2</v>
      </c>
      <c r="T28">
        <v>4.2354356000000003E-2</v>
      </c>
      <c r="U28">
        <v>9.5314333000000001E-2</v>
      </c>
      <c r="V28">
        <v>0.130718954</v>
      </c>
      <c r="W28">
        <v>11.87750312</v>
      </c>
      <c r="X28">
        <v>11.69162306</v>
      </c>
      <c r="Y28">
        <v>11.09477124</v>
      </c>
      <c r="Z28">
        <v>16.30334972</v>
      </c>
      <c r="AA28">
        <v>13.12065217</v>
      </c>
      <c r="AB28">
        <v>14.865760870000001</v>
      </c>
      <c r="AC28">
        <v>3.8232158000000002E-2</v>
      </c>
      <c r="AD28">
        <v>-3.8778712E-2</v>
      </c>
      <c r="AE28">
        <v>-5.32</v>
      </c>
      <c r="AF28">
        <v>-3.1688888890000002</v>
      </c>
      <c r="AG28">
        <v>21</v>
      </c>
      <c r="AH28">
        <v>10</v>
      </c>
      <c r="AI28">
        <v>704.2</v>
      </c>
      <c r="AJ28">
        <v>393.3</v>
      </c>
      <c r="AK28">
        <v>0.12929347799999999</v>
      </c>
      <c r="AL28">
        <v>-7.8641303999999995E-2</v>
      </c>
      <c r="AM28">
        <v>4.6866029749999996</v>
      </c>
      <c r="AN28">
        <v>3.0738613199999998</v>
      </c>
    </row>
    <row r="29" spans="1:40" x14ac:dyDescent="0.2">
      <c r="A29">
        <v>1997</v>
      </c>
      <c r="B29">
        <v>320</v>
      </c>
      <c r="C29">
        <v>31</v>
      </c>
      <c r="D29">
        <v>137.27083329999999</v>
      </c>
      <c r="E29">
        <v>184.890625</v>
      </c>
      <c r="F29">
        <v>217.6153846</v>
      </c>
      <c r="G29">
        <v>10.335207199999999</v>
      </c>
      <c r="H29">
        <v>1.005887513</v>
      </c>
      <c r="I29">
        <v>3.1124345000000001E-2</v>
      </c>
      <c r="J29">
        <v>0.281396231</v>
      </c>
      <c r="K29">
        <v>1.1861532619999999</v>
      </c>
      <c r="L29">
        <v>7.9882310999999998E-2</v>
      </c>
      <c r="M29">
        <v>0.50853320999999996</v>
      </c>
      <c r="N29">
        <v>0.27587702400000003</v>
      </c>
      <c r="O29">
        <v>0.133798905</v>
      </c>
      <c r="P29">
        <v>0.44393104700000002</v>
      </c>
      <c r="Q29">
        <v>8.8098380000000004E-3</v>
      </c>
      <c r="R29">
        <v>4.8184876000000001E-2</v>
      </c>
      <c r="S29">
        <v>1.6386402000000001E-2</v>
      </c>
      <c r="T29">
        <v>8.6576893000000002E-2</v>
      </c>
      <c r="U29">
        <v>4.2354356000000003E-2</v>
      </c>
      <c r="V29">
        <v>0.32187500000000002</v>
      </c>
      <c r="W29">
        <v>11.005521740000001</v>
      </c>
      <c r="X29">
        <v>11.44151243</v>
      </c>
      <c r="Y29">
        <v>31.231249999999999</v>
      </c>
      <c r="Z29">
        <v>16.636349719999998</v>
      </c>
      <c r="AA29">
        <v>13.109239130000001</v>
      </c>
      <c r="AB29">
        <v>13.12065217</v>
      </c>
      <c r="AC29">
        <v>0.45138433100000003</v>
      </c>
      <c r="AD29">
        <v>3.8232158000000002E-2</v>
      </c>
      <c r="AE29">
        <v>-3.516666667</v>
      </c>
      <c r="AF29">
        <v>-5.32</v>
      </c>
      <c r="AG29">
        <v>10</v>
      </c>
      <c r="AH29">
        <v>21</v>
      </c>
      <c r="AI29">
        <v>468.8</v>
      </c>
      <c r="AJ29">
        <v>704.2</v>
      </c>
      <c r="AK29">
        <v>-1.0054347999999999E-2</v>
      </c>
      <c r="AL29">
        <v>0.12929347799999999</v>
      </c>
      <c r="AM29">
        <v>4.7822785620000001</v>
      </c>
      <c r="AN29">
        <v>3.167554253</v>
      </c>
    </row>
    <row r="30" spans="1:40" x14ac:dyDescent="0.2">
      <c r="A30">
        <v>1998</v>
      </c>
      <c r="B30">
        <v>245</v>
      </c>
      <c r="C30">
        <v>27</v>
      </c>
      <c r="D30">
        <v>127.14084510000001</v>
      </c>
      <c r="E30">
        <v>150.25</v>
      </c>
      <c r="F30">
        <v>203.45454549999999</v>
      </c>
      <c r="G30">
        <v>8.5368027659999992</v>
      </c>
      <c r="H30">
        <v>7.0824912580000001</v>
      </c>
      <c r="I30">
        <v>2.4418967999999999E-2</v>
      </c>
      <c r="J30">
        <v>0.17391304299999999</v>
      </c>
      <c r="K30">
        <v>0.19155660199999999</v>
      </c>
      <c r="L30">
        <v>4.1426936999999997E-2</v>
      </c>
      <c r="M30">
        <v>1</v>
      </c>
      <c r="N30">
        <v>0.20955753799999999</v>
      </c>
      <c r="O30">
        <v>0.10813450600000001</v>
      </c>
      <c r="P30">
        <v>1</v>
      </c>
      <c r="Q30">
        <v>3.0077762000000001E-2</v>
      </c>
      <c r="R30">
        <v>7.9356029999999994E-3</v>
      </c>
      <c r="S30">
        <v>2.2660401E-2</v>
      </c>
      <c r="T30">
        <v>7.3381115999999996E-2</v>
      </c>
      <c r="U30">
        <v>8.6576893000000002E-2</v>
      </c>
      <c r="V30">
        <v>0.73469387799999997</v>
      </c>
      <c r="W30">
        <v>11.49905373</v>
      </c>
      <c r="X30">
        <v>11.252287730000001</v>
      </c>
      <c r="Y30">
        <v>161.0489796</v>
      </c>
      <c r="Z30">
        <v>18.890153829999999</v>
      </c>
      <c r="AA30">
        <v>15.86086957</v>
      </c>
      <c r="AB30">
        <v>13.109239130000001</v>
      </c>
      <c r="AC30">
        <v>0.238993027</v>
      </c>
      <c r="AD30">
        <v>0.45138433100000003</v>
      </c>
      <c r="AE30">
        <v>-0.57777777799999996</v>
      </c>
      <c r="AF30">
        <v>-3.516666667</v>
      </c>
      <c r="AG30">
        <v>4</v>
      </c>
      <c r="AH30">
        <v>10</v>
      </c>
      <c r="AI30">
        <v>503.9</v>
      </c>
      <c r="AJ30">
        <v>468.8</v>
      </c>
      <c r="AK30">
        <v>-0.71440217399999995</v>
      </c>
      <c r="AL30">
        <v>-1.0054347999999999E-2</v>
      </c>
      <c r="AM30">
        <v>4.7564752070000003</v>
      </c>
      <c r="AN30">
        <v>4.4043480390000003</v>
      </c>
    </row>
    <row r="31" spans="1:40" x14ac:dyDescent="0.2">
      <c r="A31">
        <v>1999</v>
      </c>
      <c r="B31">
        <v>170</v>
      </c>
      <c r="C31">
        <v>27</v>
      </c>
      <c r="D31">
        <v>140.2857143</v>
      </c>
      <c r="E31">
        <v>179.20408159999999</v>
      </c>
      <c r="F31">
        <v>208.85</v>
      </c>
      <c r="G31">
        <v>3.0497326199999999</v>
      </c>
      <c r="H31">
        <v>4.3856498549999996</v>
      </c>
      <c r="I31">
        <v>3.3339766E-2</v>
      </c>
      <c r="J31">
        <v>0.23717948699999999</v>
      </c>
      <c r="K31">
        <v>1.9077221390000001</v>
      </c>
      <c r="L31">
        <v>7.2362087000000005E-2</v>
      </c>
      <c r="M31">
        <v>0.45794392499999997</v>
      </c>
      <c r="N31">
        <v>0.39218950299999999</v>
      </c>
      <c r="O31">
        <v>0.117473827</v>
      </c>
      <c r="P31">
        <v>0.64516129</v>
      </c>
      <c r="Q31">
        <v>3.4679564000000003E-2</v>
      </c>
      <c r="R31">
        <v>6.3217673000000002E-2</v>
      </c>
      <c r="S31">
        <v>2.9723871999999998E-2</v>
      </c>
      <c r="T31">
        <v>6.0673765999999997E-2</v>
      </c>
      <c r="U31">
        <v>7.3381115999999996E-2</v>
      </c>
      <c r="V31">
        <v>0.735294118</v>
      </c>
      <c r="W31">
        <v>11.82867353</v>
      </c>
      <c r="X31">
        <v>11.66386363</v>
      </c>
      <c r="Y31">
        <v>9.8000000000000007</v>
      </c>
      <c r="Z31">
        <v>10.87080411</v>
      </c>
      <c r="AA31">
        <v>14.564130430000001</v>
      </c>
      <c r="AB31">
        <v>15.86086957</v>
      </c>
      <c r="AC31">
        <v>-0.30203958199999997</v>
      </c>
      <c r="AD31">
        <v>0.238993027</v>
      </c>
      <c r="AE31">
        <v>-4.0576271190000002</v>
      </c>
      <c r="AF31">
        <v>-0.57777777799999996</v>
      </c>
      <c r="AG31">
        <v>8</v>
      </c>
      <c r="AH31">
        <v>4</v>
      </c>
      <c r="AI31">
        <v>379.1</v>
      </c>
      <c r="AJ31">
        <v>503.9</v>
      </c>
      <c r="AK31">
        <v>0.135543478</v>
      </c>
      <c r="AL31">
        <v>-0.71440217399999995</v>
      </c>
      <c r="AM31">
        <v>3.9172977910000002</v>
      </c>
      <c r="AN31">
        <v>4.0904264670000003</v>
      </c>
    </row>
    <row r="32" spans="1:40" x14ac:dyDescent="0.2">
      <c r="A32">
        <v>2000</v>
      </c>
      <c r="B32">
        <v>325</v>
      </c>
      <c r="C32">
        <v>36</v>
      </c>
      <c r="D32">
        <v>142.75862069999999</v>
      </c>
      <c r="E32">
        <v>175.05333329999999</v>
      </c>
      <c r="F32">
        <v>209.87096769999999</v>
      </c>
      <c r="G32">
        <v>0.85991467799999999</v>
      </c>
      <c r="H32">
        <v>0.32217290300000001</v>
      </c>
      <c r="I32">
        <v>3.5235577999999997E-2</v>
      </c>
      <c r="J32">
        <v>0.571428571</v>
      </c>
      <c r="K32">
        <v>0.95863275999999997</v>
      </c>
      <c r="L32">
        <v>6.7189166999999994E-2</v>
      </c>
      <c r="M32">
        <v>0.95744680900000001</v>
      </c>
      <c r="N32">
        <v>1.502356582</v>
      </c>
      <c r="O32">
        <v>0.119301039</v>
      </c>
      <c r="P32">
        <v>0.95</v>
      </c>
      <c r="Q32">
        <v>6.486828E-3</v>
      </c>
      <c r="R32">
        <v>6.1668897E-2</v>
      </c>
      <c r="S32">
        <v>0.170271066</v>
      </c>
      <c r="T32">
        <v>0.12762111000000001</v>
      </c>
      <c r="U32">
        <v>6.0673765999999997E-2</v>
      </c>
      <c r="V32">
        <v>0.14769230799999999</v>
      </c>
      <c r="W32">
        <v>10.43154689</v>
      </c>
      <c r="X32">
        <v>11.13011021</v>
      </c>
      <c r="Y32">
        <v>31.28923077</v>
      </c>
      <c r="Z32">
        <v>12.54080411</v>
      </c>
      <c r="AA32">
        <v>14.41413043</v>
      </c>
      <c r="AB32">
        <v>14.564130430000001</v>
      </c>
      <c r="AC32">
        <v>-0.58367001600000001</v>
      </c>
      <c r="AD32">
        <v>-0.30203958199999997</v>
      </c>
      <c r="AE32">
        <v>-3.3744444439999999</v>
      </c>
      <c r="AF32">
        <v>-4.0576271190000002</v>
      </c>
      <c r="AG32">
        <v>9</v>
      </c>
      <c r="AH32">
        <v>8</v>
      </c>
      <c r="AI32">
        <v>423.9</v>
      </c>
      <c r="AJ32">
        <v>379.1</v>
      </c>
      <c r="AK32">
        <v>0.16375000000000001</v>
      </c>
      <c r="AL32">
        <v>0.135543478</v>
      </c>
      <c r="AM32">
        <v>1.9077673799999999</v>
      </c>
      <c r="AN32">
        <v>1.6695769579999999</v>
      </c>
    </row>
    <row r="33" spans="1:40" x14ac:dyDescent="0.2">
      <c r="A33">
        <v>2001</v>
      </c>
      <c r="B33">
        <v>240</v>
      </c>
      <c r="C33">
        <v>31</v>
      </c>
      <c r="D33">
        <v>140.14285709999999</v>
      </c>
      <c r="E33">
        <v>179.4</v>
      </c>
      <c r="F33">
        <v>207</v>
      </c>
      <c r="G33">
        <v>13.0375</v>
      </c>
      <c r="H33">
        <v>0.13657408300000001</v>
      </c>
      <c r="I33">
        <v>3.323243E-2</v>
      </c>
      <c r="J33">
        <v>0.12903225800000001</v>
      </c>
      <c r="K33">
        <v>0.12763218100000001</v>
      </c>
      <c r="L33">
        <v>7.2612771000000007E-2</v>
      </c>
      <c r="M33">
        <v>0.15384615400000001</v>
      </c>
      <c r="N33">
        <v>0.75662706899999999</v>
      </c>
      <c r="O33">
        <v>0.11421184099999999</v>
      </c>
      <c r="P33">
        <v>0.39310344800000002</v>
      </c>
      <c r="Q33">
        <v>5.8563699999999996E-4</v>
      </c>
      <c r="R33">
        <v>1.4258039999999999E-3</v>
      </c>
      <c r="S33">
        <v>3.3970337000000003E-2</v>
      </c>
      <c r="T33">
        <v>0.238426791</v>
      </c>
      <c r="U33">
        <v>0.12762111000000001</v>
      </c>
      <c r="V33">
        <v>0.21249999999999999</v>
      </c>
      <c r="W33">
        <v>10.2326994</v>
      </c>
      <c r="X33">
        <v>10.33212314</v>
      </c>
      <c r="Y33">
        <v>99.2</v>
      </c>
      <c r="Z33">
        <v>8.2319999999999993</v>
      </c>
      <c r="AA33">
        <v>14.68532609</v>
      </c>
      <c r="AB33">
        <v>14.41413043</v>
      </c>
      <c r="AC33">
        <v>-0.66057219</v>
      </c>
      <c r="AD33">
        <v>-0.58367001600000001</v>
      </c>
      <c r="AE33">
        <v>-5.45</v>
      </c>
      <c r="AF33">
        <v>-3.3744444439999999</v>
      </c>
      <c r="AG33">
        <v>25</v>
      </c>
      <c r="AH33">
        <v>9</v>
      </c>
      <c r="AI33">
        <v>818</v>
      </c>
      <c r="AJ33">
        <v>423.9</v>
      </c>
      <c r="AK33">
        <v>-0.30217391300000002</v>
      </c>
      <c r="AL33">
        <v>0.16375000000000001</v>
      </c>
      <c r="AM33">
        <v>4.0015227940000004</v>
      </c>
      <c r="AN33">
        <v>6.7801410000000006E-2</v>
      </c>
    </row>
    <row r="34" spans="1:40" x14ac:dyDescent="0.2">
      <c r="A34">
        <v>2002</v>
      </c>
      <c r="B34">
        <v>355</v>
      </c>
      <c r="C34">
        <v>42</v>
      </c>
      <c r="D34">
        <v>134.50420170000001</v>
      </c>
      <c r="E34">
        <v>211</v>
      </c>
      <c r="F34">
        <v>232.2142857</v>
      </c>
      <c r="G34">
        <v>3.7408450700000002</v>
      </c>
      <c r="H34">
        <v>2.7210815020000001</v>
      </c>
      <c r="I34">
        <v>2.9181926E-2</v>
      </c>
      <c r="J34">
        <v>0.262443439</v>
      </c>
      <c r="K34">
        <v>4.4655301000000001E-2</v>
      </c>
      <c r="L34">
        <v>0.12134418299999999</v>
      </c>
      <c r="M34">
        <v>0.36363636399999999</v>
      </c>
      <c r="N34">
        <v>0.203277281</v>
      </c>
      <c r="O34">
        <v>0.16432493400000001</v>
      </c>
      <c r="P34">
        <v>0.27450980400000002</v>
      </c>
      <c r="Q34">
        <v>2.0839689000000002E-2</v>
      </c>
      <c r="R34">
        <v>1.9704219999999999E-3</v>
      </c>
      <c r="S34">
        <v>9.1695949999999991E-3</v>
      </c>
      <c r="T34">
        <v>3.5981778999999998E-2</v>
      </c>
      <c r="U34">
        <v>0.238426791</v>
      </c>
      <c r="V34">
        <v>0.32957746500000001</v>
      </c>
      <c r="W34">
        <v>8.9016059139999992</v>
      </c>
      <c r="X34">
        <v>9.5671526579999995</v>
      </c>
      <c r="Y34">
        <v>34.484507039999997</v>
      </c>
      <c r="Z34">
        <v>4.3973333329999997</v>
      </c>
      <c r="AA34">
        <v>13.46304348</v>
      </c>
      <c r="AB34">
        <v>14.68532609</v>
      </c>
      <c r="AC34">
        <v>-0.41698523399999998</v>
      </c>
      <c r="AD34">
        <v>-0.66057219</v>
      </c>
      <c r="AE34">
        <v>-0.83555555599999998</v>
      </c>
      <c r="AF34">
        <v>-5.45</v>
      </c>
      <c r="AG34">
        <v>8</v>
      </c>
      <c r="AH34">
        <v>25</v>
      </c>
      <c r="AI34">
        <v>623.6</v>
      </c>
      <c r="AJ34">
        <v>818</v>
      </c>
      <c r="AK34">
        <v>0.50201087</v>
      </c>
      <c r="AL34">
        <v>-0.30217391300000002</v>
      </c>
      <c r="AM34">
        <v>4.6440541550000001</v>
      </c>
      <c r="AN34">
        <v>2.4347223859999998</v>
      </c>
    </row>
    <row r="35" spans="1:40" x14ac:dyDescent="0.2">
      <c r="A35">
        <v>2003</v>
      </c>
      <c r="B35">
        <v>240</v>
      </c>
      <c r="C35">
        <v>27</v>
      </c>
      <c r="D35">
        <v>140.52631579999999</v>
      </c>
      <c r="E35">
        <v>180.84210529999999</v>
      </c>
      <c r="F35">
        <v>207.1538462</v>
      </c>
      <c r="G35">
        <v>246.77916669999999</v>
      </c>
      <c r="H35">
        <v>0.1875</v>
      </c>
      <c r="I35">
        <v>3.3521079000000002E-2</v>
      </c>
      <c r="J35">
        <v>2.3809523999999999E-2</v>
      </c>
      <c r="K35">
        <v>0.233333333</v>
      </c>
      <c r="L35">
        <v>7.4476297999999996E-2</v>
      </c>
      <c r="M35">
        <v>0.303571429</v>
      </c>
      <c r="N35">
        <v>0.104166667</v>
      </c>
      <c r="O35">
        <v>0.114480716</v>
      </c>
      <c r="P35">
        <v>0.54166666699999999</v>
      </c>
      <c r="Q35">
        <v>1.49648E-4</v>
      </c>
      <c r="R35">
        <v>5.275404E-3</v>
      </c>
      <c r="S35">
        <v>6.4594149999999996E-3</v>
      </c>
      <c r="T35">
        <v>3.1979705999999997E-2</v>
      </c>
      <c r="U35">
        <v>3.5981778999999998E-2</v>
      </c>
      <c r="V35">
        <v>5.7208333329999999</v>
      </c>
      <c r="W35">
        <v>13.533254660000001</v>
      </c>
      <c r="X35">
        <v>11.217430289999999</v>
      </c>
      <c r="Y35">
        <v>75.220833330000005</v>
      </c>
      <c r="Z35">
        <v>0.59066666700000003</v>
      </c>
      <c r="AA35">
        <v>12.77554348</v>
      </c>
      <c r="AB35">
        <v>13.46304348</v>
      </c>
      <c r="AC35">
        <v>-0.692093929</v>
      </c>
      <c r="AD35">
        <v>-0.41698523399999998</v>
      </c>
      <c r="AE35">
        <v>-5.95</v>
      </c>
      <c r="AF35">
        <v>-0.83555555599999998</v>
      </c>
      <c r="AG35">
        <v>15</v>
      </c>
      <c r="AH35">
        <v>8</v>
      </c>
      <c r="AI35">
        <v>228.2</v>
      </c>
      <c r="AJ35">
        <v>623.6</v>
      </c>
      <c r="AK35">
        <v>2.4945651999999999E-2</v>
      </c>
      <c r="AL35">
        <v>0.50201087</v>
      </c>
      <c r="AM35">
        <v>8.9511476319999996</v>
      </c>
      <c r="AN35">
        <v>1.6507661810000001</v>
      </c>
    </row>
    <row r="36" spans="1:40" x14ac:dyDescent="0.2">
      <c r="A36">
        <v>2004</v>
      </c>
      <c r="B36">
        <v>408</v>
      </c>
      <c r="C36">
        <v>42</v>
      </c>
      <c r="D36">
        <v>133.61111109999999</v>
      </c>
      <c r="E36">
        <v>192.5</v>
      </c>
      <c r="F36">
        <v>235</v>
      </c>
      <c r="G36">
        <v>40.965686269999999</v>
      </c>
      <c r="H36">
        <v>1.64375</v>
      </c>
      <c r="I36">
        <v>2.8573059000000001E-2</v>
      </c>
      <c r="J36">
        <v>0.14728682200000001</v>
      </c>
      <c r="K36">
        <v>2.0994753000000001E-2</v>
      </c>
      <c r="L36">
        <v>9.0758698999999998E-2</v>
      </c>
      <c r="M36">
        <v>0.5</v>
      </c>
      <c r="N36">
        <v>3.3784659000000002E-2</v>
      </c>
      <c r="O36">
        <v>0.17064547399999999</v>
      </c>
      <c r="P36">
        <v>0.28571428599999998</v>
      </c>
      <c r="Q36">
        <v>6.9176150000000002E-3</v>
      </c>
      <c r="R36">
        <v>9.5272800000000002E-4</v>
      </c>
      <c r="S36">
        <v>1.6471999999999999E-3</v>
      </c>
      <c r="T36">
        <v>1.1884468E-2</v>
      </c>
      <c r="U36">
        <v>3.1979705999999997E-2</v>
      </c>
      <c r="V36">
        <v>2.4803921569999998</v>
      </c>
      <c r="W36">
        <v>12.69132838</v>
      </c>
      <c r="X36">
        <v>13.112291519999999</v>
      </c>
      <c r="Y36">
        <v>0.95343137300000003</v>
      </c>
      <c r="Z36">
        <v>0.24866666700000001</v>
      </c>
      <c r="AA36">
        <v>13.70271739</v>
      </c>
      <c r="AB36">
        <v>12.77554348</v>
      </c>
      <c r="AC36">
        <v>-0.44530045099999999</v>
      </c>
      <c r="AD36">
        <v>-0.692093929</v>
      </c>
      <c r="AE36">
        <v>-5.3244444440000001</v>
      </c>
      <c r="AF36">
        <v>-5.95</v>
      </c>
      <c r="AG36">
        <v>9</v>
      </c>
      <c r="AH36">
        <v>15</v>
      </c>
      <c r="AI36">
        <v>740.1</v>
      </c>
      <c r="AJ36">
        <v>228.2</v>
      </c>
      <c r="AK36">
        <v>0.35576087000000001</v>
      </c>
      <c r="AL36">
        <v>2.4945651999999999E-2</v>
      </c>
      <c r="AM36">
        <v>8.1452577789999996</v>
      </c>
      <c r="AN36">
        <v>3.9396339739999999</v>
      </c>
    </row>
    <row r="37" spans="1:40" x14ac:dyDescent="0.2">
      <c r="A37">
        <v>2005</v>
      </c>
      <c r="B37">
        <v>240</v>
      </c>
      <c r="C37">
        <v>27</v>
      </c>
      <c r="D37">
        <v>141</v>
      </c>
      <c r="E37">
        <v>185.25</v>
      </c>
      <c r="F37">
        <v>207</v>
      </c>
      <c r="G37">
        <v>25.13333325</v>
      </c>
      <c r="H37">
        <v>0.97232858300000002</v>
      </c>
      <c r="I37">
        <v>3.3880005999999997E-2</v>
      </c>
      <c r="J37">
        <v>0.5</v>
      </c>
      <c r="K37">
        <v>9.8504833E-2</v>
      </c>
      <c r="L37">
        <v>8.0374769999999998E-2</v>
      </c>
      <c r="M37">
        <v>0.50853320999999996</v>
      </c>
      <c r="N37">
        <v>1.6666667E-2</v>
      </c>
      <c r="O37">
        <v>0.11421184099999999</v>
      </c>
      <c r="P37">
        <v>0.44393104700000002</v>
      </c>
      <c r="Q37">
        <v>1.6471249E-2</v>
      </c>
      <c r="R37">
        <v>4.0262120000000004E-3</v>
      </c>
      <c r="S37">
        <v>8.4503599999999996E-4</v>
      </c>
      <c r="T37">
        <v>9.5175429999999998E-3</v>
      </c>
      <c r="U37">
        <v>1.1884468E-2</v>
      </c>
      <c r="V37">
        <v>4.7291666670000003</v>
      </c>
      <c r="W37">
        <v>14.649139229999999</v>
      </c>
      <c r="X37">
        <v>13.6702338</v>
      </c>
      <c r="Y37">
        <v>9.5833333000000007E-2</v>
      </c>
      <c r="Z37">
        <v>0.254</v>
      </c>
      <c r="AA37">
        <v>13.81902174</v>
      </c>
      <c r="AB37">
        <v>13.70271739</v>
      </c>
      <c r="AC37">
        <v>-0.44731132099999998</v>
      </c>
      <c r="AD37">
        <v>-0.44530045099999999</v>
      </c>
      <c r="AE37">
        <v>-4.4744444440000004</v>
      </c>
      <c r="AF37">
        <v>-5.3244444440000001</v>
      </c>
      <c r="AG37">
        <v>12</v>
      </c>
      <c r="AH37">
        <v>9</v>
      </c>
      <c r="AI37">
        <v>361.6</v>
      </c>
      <c r="AJ37">
        <v>740.1</v>
      </c>
      <c r="AK37">
        <v>-0.59956521699999998</v>
      </c>
      <c r="AL37">
        <v>0.35576087000000001</v>
      </c>
      <c r="AM37">
        <v>7.8788135199999996</v>
      </c>
      <c r="AN37">
        <v>4.4044615</v>
      </c>
    </row>
    <row r="38" spans="1:40" x14ac:dyDescent="0.2">
      <c r="A38">
        <v>2006</v>
      </c>
      <c r="B38">
        <v>218</v>
      </c>
      <c r="C38">
        <v>27</v>
      </c>
      <c r="D38">
        <v>142.82352940000001</v>
      </c>
      <c r="E38">
        <v>198.52173909999999</v>
      </c>
      <c r="F38">
        <v>224.4</v>
      </c>
      <c r="G38">
        <v>7.3090039320000004</v>
      </c>
      <c r="H38">
        <v>0.49040629099999999</v>
      </c>
      <c r="I38">
        <v>3.5286309000000002E-2</v>
      </c>
      <c r="J38">
        <v>0.281396231</v>
      </c>
      <c r="K38">
        <v>0.23330649000000001</v>
      </c>
      <c r="L38">
        <v>0.100052406</v>
      </c>
      <c r="M38">
        <v>0.50853320999999996</v>
      </c>
      <c r="N38">
        <v>0.15994383700000001</v>
      </c>
      <c r="O38">
        <v>0.14745256000000001</v>
      </c>
      <c r="P38">
        <v>0.44393104700000002</v>
      </c>
      <c r="Q38">
        <v>4.8694569999999998E-3</v>
      </c>
      <c r="R38">
        <v>1.1870627E-2</v>
      </c>
      <c r="S38">
        <v>1.0469727E-2</v>
      </c>
      <c r="T38">
        <v>2.1342496999999998E-2</v>
      </c>
      <c r="U38">
        <v>9.5175429999999998E-3</v>
      </c>
      <c r="V38">
        <v>1.3348623850000001</v>
      </c>
      <c r="W38">
        <v>14.409129070000001</v>
      </c>
      <c r="X38">
        <v>14.529134150000001</v>
      </c>
      <c r="Y38">
        <v>0.15137614699999999</v>
      </c>
      <c r="Z38">
        <v>4.3333333000000002E-2</v>
      </c>
      <c r="AA38">
        <v>14.73967391</v>
      </c>
      <c r="AB38">
        <v>13.81902174</v>
      </c>
      <c r="AC38">
        <v>-0.54057219000000001</v>
      </c>
      <c r="AD38">
        <v>-0.44731132099999998</v>
      </c>
      <c r="AE38">
        <v>-2.9255555559999999</v>
      </c>
      <c r="AF38">
        <v>-4.4744444440000004</v>
      </c>
      <c r="AG38">
        <v>21</v>
      </c>
      <c r="AH38">
        <v>12</v>
      </c>
      <c r="AI38">
        <v>1177.4000000000001</v>
      </c>
      <c r="AJ38">
        <v>361.6</v>
      </c>
      <c r="AK38">
        <v>-0.20842391299999999</v>
      </c>
      <c r="AL38">
        <v>-0.59956521699999998</v>
      </c>
      <c r="AM38">
        <v>5.8361620199999997</v>
      </c>
      <c r="AN38">
        <v>3.9420974700000002</v>
      </c>
    </row>
    <row r="39" spans="1:40" x14ac:dyDescent="0.2">
      <c r="A39">
        <v>2007</v>
      </c>
      <c r="B39">
        <v>255</v>
      </c>
      <c r="C39">
        <v>33</v>
      </c>
      <c r="D39">
        <v>140.18987340000001</v>
      </c>
      <c r="E39">
        <v>203.173913</v>
      </c>
      <c r="F39">
        <v>237.94736839999999</v>
      </c>
      <c r="G39">
        <v>10.35040384</v>
      </c>
      <c r="H39">
        <v>0.65743929400000001</v>
      </c>
      <c r="I39">
        <v>3.3267730000000002E-2</v>
      </c>
      <c r="J39">
        <v>0.281396231</v>
      </c>
      <c r="K39">
        <v>0.149019608</v>
      </c>
      <c r="L39">
        <v>0.10766313800000001</v>
      </c>
      <c r="M39">
        <v>0.50853320999999996</v>
      </c>
      <c r="N39">
        <v>0.149019608</v>
      </c>
      <c r="O39">
        <v>0.17751173000000001</v>
      </c>
      <c r="P39">
        <v>0.44393104700000002</v>
      </c>
      <c r="Q39">
        <v>6.1545610000000002E-3</v>
      </c>
      <c r="R39">
        <v>8.1588649999999995E-3</v>
      </c>
      <c r="S39">
        <v>1.1743187E-2</v>
      </c>
      <c r="T39">
        <v>2.7209811E-2</v>
      </c>
      <c r="U39">
        <v>2.1342496999999998E-2</v>
      </c>
      <c r="V39">
        <v>3.1333333329999999</v>
      </c>
      <c r="W39">
        <v>19.36200358</v>
      </c>
      <c r="X39">
        <v>16.88556633</v>
      </c>
      <c r="Y39">
        <v>0</v>
      </c>
      <c r="Z39">
        <v>1.4666667E-2</v>
      </c>
      <c r="AA39">
        <v>14.70815217</v>
      </c>
      <c r="AB39">
        <v>14.73967391</v>
      </c>
      <c r="AC39">
        <v>-0.59252871200000001</v>
      </c>
      <c r="AD39">
        <v>-0.54057219000000001</v>
      </c>
      <c r="AE39">
        <v>-3.4711111109999999</v>
      </c>
      <c r="AF39">
        <v>-2.9255555559999999</v>
      </c>
      <c r="AG39">
        <v>5</v>
      </c>
      <c r="AH39">
        <v>21</v>
      </c>
      <c r="AI39">
        <v>411.5</v>
      </c>
      <c r="AJ39">
        <v>1177.4000000000001</v>
      </c>
      <c r="AK39">
        <v>4.6630434999999998E-2</v>
      </c>
      <c r="AL39">
        <v>-0.20842391299999999</v>
      </c>
      <c r="AM39">
        <v>5.9412031980000002</v>
      </c>
      <c r="AN39">
        <v>3.4276521689999999</v>
      </c>
    </row>
    <row r="40" spans="1:40" x14ac:dyDescent="0.2">
      <c r="A40">
        <v>2008</v>
      </c>
      <c r="B40">
        <v>314</v>
      </c>
      <c r="C40">
        <v>37</v>
      </c>
      <c r="D40">
        <v>152.72916670000001</v>
      </c>
      <c r="E40">
        <v>196.33333329999999</v>
      </c>
      <c r="F40">
        <v>198.4339281</v>
      </c>
      <c r="G40">
        <v>22.239490450000002</v>
      </c>
      <c r="H40">
        <v>0.71670818700000005</v>
      </c>
      <c r="I40">
        <v>4.3629281999999998E-2</v>
      </c>
      <c r="J40">
        <v>0.42028985499999999</v>
      </c>
      <c r="K40">
        <v>1.8023216000000002E-2</v>
      </c>
      <c r="L40">
        <v>9.6603114000000004E-2</v>
      </c>
      <c r="M40">
        <v>1</v>
      </c>
      <c r="N40">
        <v>3.4851579999999999E-3</v>
      </c>
      <c r="O40">
        <v>9.9912403999999996E-2</v>
      </c>
      <c r="P40">
        <v>0.44393104700000002</v>
      </c>
      <c r="Q40">
        <v>1.3142238000000001E-2</v>
      </c>
      <c r="R40">
        <v>1.7410990000000001E-3</v>
      </c>
      <c r="S40">
        <v>1.5458099999999999E-4</v>
      </c>
      <c r="T40">
        <v>2.6056613999999999E-2</v>
      </c>
      <c r="U40">
        <v>2.7209811E-2</v>
      </c>
      <c r="V40">
        <v>1.1624203820000001</v>
      </c>
      <c r="W40">
        <v>25.21274867</v>
      </c>
      <c r="X40">
        <v>22.287376129999998</v>
      </c>
      <c r="Y40">
        <v>0</v>
      </c>
      <c r="Z40">
        <v>4.1333333E-2</v>
      </c>
      <c r="AA40">
        <v>13.77173913</v>
      </c>
      <c r="AB40">
        <v>14.70815217</v>
      </c>
      <c r="AC40">
        <v>-0.55367001599999999</v>
      </c>
      <c r="AD40">
        <v>-0.59252871200000001</v>
      </c>
      <c r="AE40">
        <v>-4.2022222219999996</v>
      </c>
      <c r="AF40">
        <v>-3.4711111109999999</v>
      </c>
      <c r="AG40">
        <v>17</v>
      </c>
      <c r="AH40">
        <v>5</v>
      </c>
      <c r="AI40">
        <v>544.70000000000005</v>
      </c>
      <c r="AJ40">
        <v>411.5</v>
      </c>
      <c r="AK40">
        <v>-1.0884782609999999</v>
      </c>
      <c r="AL40">
        <v>4.6630434999999998E-2</v>
      </c>
      <c r="AM40">
        <v>6.7493531969999996</v>
      </c>
      <c r="AN40">
        <v>3.2710911469999999</v>
      </c>
    </row>
    <row r="41" spans="1:40" x14ac:dyDescent="0.2">
      <c r="A41">
        <v>2009</v>
      </c>
      <c r="B41">
        <v>210</v>
      </c>
      <c r="C41">
        <v>24</v>
      </c>
      <c r="D41">
        <v>140.86000000000001</v>
      </c>
      <c r="E41">
        <v>196</v>
      </c>
      <c r="F41">
        <v>198.4339281</v>
      </c>
      <c r="G41">
        <v>35.542857140000002</v>
      </c>
      <c r="H41">
        <v>1.2752941179999999</v>
      </c>
      <c r="I41">
        <v>3.3773651000000002E-2</v>
      </c>
      <c r="J41">
        <v>0.393939394</v>
      </c>
      <c r="K41">
        <v>1.5182073000000001E-2</v>
      </c>
      <c r="L41">
        <v>9.6084969000000006E-2</v>
      </c>
      <c r="M41">
        <v>0.5</v>
      </c>
      <c r="N41">
        <v>0</v>
      </c>
      <c r="O41">
        <v>9.9912403999999996E-2</v>
      </c>
      <c r="P41">
        <v>0.44393104700000002</v>
      </c>
      <c r="Q41">
        <v>1.6967497000000002E-2</v>
      </c>
      <c r="R41">
        <v>7.2938500000000004E-4</v>
      </c>
      <c r="S41">
        <v>0</v>
      </c>
      <c r="T41">
        <v>1.5037918000000001E-2</v>
      </c>
      <c r="U41">
        <v>2.6056613999999999E-2</v>
      </c>
      <c r="V41">
        <v>16.14285714</v>
      </c>
      <c r="W41">
        <v>22.162779019999999</v>
      </c>
      <c r="X41">
        <v>23.687763839999999</v>
      </c>
      <c r="Y41">
        <v>4.7619050000000003E-3</v>
      </c>
      <c r="Z41">
        <v>5.8666666999999999E-2</v>
      </c>
      <c r="AA41">
        <v>13.320652170000001</v>
      </c>
      <c r="AB41">
        <v>13.77173913</v>
      </c>
      <c r="AC41">
        <v>-0.29209392899999997</v>
      </c>
      <c r="AD41">
        <v>-0.55367001599999999</v>
      </c>
      <c r="AE41">
        <v>-5.9766666669999999</v>
      </c>
      <c r="AF41">
        <v>-4.2022222219999996</v>
      </c>
      <c r="AG41">
        <v>20</v>
      </c>
      <c r="AH41">
        <v>17</v>
      </c>
      <c r="AI41">
        <v>1142.3853999999999</v>
      </c>
      <c r="AJ41">
        <v>544.70000000000005</v>
      </c>
      <c r="AK41">
        <v>-0.24505434800000001</v>
      </c>
      <c r="AL41">
        <v>-1.0884782609999999</v>
      </c>
      <c r="AM41">
        <v>7.7679195810000001</v>
      </c>
      <c r="AN41">
        <v>3.890660472</v>
      </c>
    </row>
    <row r="42" spans="1:40" x14ac:dyDescent="0.2">
      <c r="A42">
        <v>2010</v>
      </c>
      <c r="B42">
        <v>200</v>
      </c>
      <c r="C42">
        <v>24</v>
      </c>
      <c r="D42">
        <v>141.93902439999999</v>
      </c>
      <c r="E42">
        <v>196.25</v>
      </c>
      <c r="F42">
        <v>250</v>
      </c>
      <c r="G42">
        <v>24.74</v>
      </c>
      <c r="H42">
        <v>1.0449999999999999</v>
      </c>
      <c r="I42">
        <v>3.4599294000000003E-2</v>
      </c>
      <c r="J42">
        <v>0.28947368400000001</v>
      </c>
      <c r="K42">
        <v>7.0000000000000007E-2</v>
      </c>
      <c r="L42">
        <v>9.6473399000000001E-2</v>
      </c>
      <c r="M42">
        <v>0.58333333300000001</v>
      </c>
      <c r="N42">
        <v>0.04</v>
      </c>
      <c r="O42">
        <v>0.20756069499999999</v>
      </c>
      <c r="P42">
        <v>0.5</v>
      </c>
      <c r="Q42">
        <v>1.0466286E-2</v>
      </c>
      <c r="R42">
        <v>3.9393299999999996E-3</v>
      </c>
      <c r="S42">
        <v>4.1512140000000003E-3</v>
      </c>
      <c r="T42">
        <v>1.7696881000000001E-2</v>
      </c>
      <c r="U42">
        <v>1.5037918000000001E-2</v>
      </c>
      <c r="V42">
        <v>3.2050000000000001</v>
      </c>
      <c r="W42">
        <v>23.002221129999999</v>
      </c>
      <c r="X42">
        <v>22.582500069999998</v>
      </c>
      <c r="Y42">
        <v>0</v>
      </c>
      <c r="Z42">
        <v>0.46633333300000002</v>
      </c>
      <c r="AA42">
        <v>16.308695650000001</v>
      </c>
      <c r="AB42">
        <v>13.320652170000001</v>
      </c>
      <c r="AC42">
        <v>-0.443670016</v>
      </c>
      <c r="AD42">
        <v>-0.29209392899999997</v>
      </c>
      <c r="AE42">
        <v>-3.9722222220000001</v>
      </c>
      <c r="AF42">
        <v>-5.9766666669999999</v>
      </c>
      <c r="AG42">
        <v>16</v>
      </c>
      <c r="AH42">
        <v>20</v>
      </c>
      <c r="AI42">
        <v>639.81439999999998</v>
      </c>
      <c r="AJ42">
        <v>1142.3853999999999</v>
      </c>
      <c r="AK42">
        <v>-0.92668478300000001</v>
      </c>
      <c r="AL42">
        <v>-0.24505434800000001</v>
      </c>
      <c r="AM42">
        <v>7.2427882139999999</v>
      </c>
      <c r="AN42">
        <v>4.2411972540000002</v>
      </c>
    </row>
    <row r="43" spans="1:40" x14ac:dyDescent="0.2">
      <c r="A43">
        <v>2011</v>
      </c>
      <c r="B43">
        <v>240</v>
      </c>
      <c r="C43">
        <v>27</v>
      </c>
      <c r="D43">
        <v>145.44117650000001</v>
      </c>
      <c r="E43">
        <v>201.09523809999999</v>
      </c>
      <c r="F43">
        <v>230.125</v>
      </c>
      <c r="G43">
        <v>19.079166669999999</v>
      </c>
      <c r="H43">
        <v>7.8604678530000003</v>
      </c>
      <c r="I43">
        <v>3.7374083000000002E-2</v>
      </c>
      <c r="J43">
        <v>0.35794183400000001</v>
      </c>
      <c r="K43">
        <v>0.53769927799999995</v>
      </c>
      <c r="L43">
        <v>0.104215339</v>
      </c>
      <c r="M43">
        <v>0.56756756799999997</v>
      </c>
      <c r="N43">
        <v>7.2666202999999999E-2</v>
      </c>
      <c r="O43">
        <v>0.159690993</v>
      </c>
      <c r="P43">
        <v>0.8</v>
      </c>
      <c r="Q43">
        <v>0.10515535600000001</v>
      </c>
      <c r="R43">
        <v>3.1804507000000003E-2</v>
      </c>
      <c r="S43">
        <v>9.2833099999999995E-3</v>
      </c>
      <c r="T43">
        <v>1.8556830999999999E-2</v>
      </c>
      <c r="U43">
        <v>1.7696881000000001E-2</v>
      </c>
      <c r="V43">
        <v>6.0374999999999996</v>
      </c>
      <c r="W43">
        <v>22.162587080000002</v>
      </c>
      <c r="X43">
        <v>22.582404100000002</v>
      </c>
      <c r="Y43">
        <v>0</v>
      </c>
      <c r="Z43">
        <v>0.48233333299999998</v>
      </c>
      <c r="AA43">
        <v>14.52717391</v>
      </c>
      <c r="AB43">
        <v>16.308695650000001</v>
      </c>
      <c r="AC43">
        <v>-0.52524610299999996</v>
      </c>
      <c r="AD43">
        <v>-0.443670016</v>
      </c>
      <c r="AE43">
        <v>-5.3855555559999999</v>
      </c>
      <c r="AF43">
        <v>-3.9722222220000001</v>
      </c>
      <c r="AG43">
        <v>22</v>
      </c>
      <c r="AH43">
        <v>16</v>
      </c>
      <c r="AI43">
        <v>1023.1746000000001</v>
      </c>
      <c r="AJ43">
        <v>639.81439999999998</v>
      </c>
      <c r="AK43">
        <v>-0.19353260899999999</v>
      </c>
      <c r="AL43">
        <v>-0.92668478300000001</v>
      </c>
      <c r="AM43">
        <v>6.9355143100000003</v>
      </c>
      <c r="AN43">
        <v>6.0962129750000003</v>
      </c>
    </row>
    <row r="44" spans="1:40" x14ac:dyDescent="0.2">
      <c r="A44">
        <v>2012</v>
      </c>
      <c r="B44">
        <v>210</v>
      </c>
      <c r="C44">
        <v>24</v>
      </c>
      <c r="D44">
        <v>160.00719419999999</v>
      </c>
      <c r="E44">
        <v>221.07142859999999</v>
      </c>
      <c r="F44">
        <v>253.44444440000001</v>
      </c>
      <c r="G44">
        <v>16.384654950000002</v>
      </c>
      <c r="H44">
        <v>1.7751751680000001</v>
      </c>
      <c r="I44">
        <v>5.0555282E-2</v>
      </c>
      <c r="J44">
        <v>0.30215827299999998</v>
      </c>
      <c r="K44">
        <v>0.610600743</v>
      </c>
      <c r="L44">
        <v>0.140640605</v>
      </c>
      <c r="M44">
        <v>0.58119658100000005</v>
      </c>
      <c r="N44">
        <v>8.1950089000000004E-2</v>
      </c>
      <c r="O44">
        <v>0.21674743899999999</v>
      </c>
      <c r="P44">
        <v>0.53333333299999997</v>
      </c>
      <c r="Q44">
        <v>2.7117038E-2</v>
      </c>
      <c r="R44">
        <v>4.9910405999999997E-2</v>
      </c>
      <c r="S44">
        <v>9.4733179999999997E-3</v>
      </c>
      <c r="T44">
        <v>0.146243174</v>
      </c>
      <c r="U44">
        <v>1.8556830999999999E-2</v>
      </c>
      <c r="V44">
        <v>1.9619047620000001</v>
      </c>
      <c r="W44">
        <v>27.779552450000001</v>
      </c>
      <c r="X44">
        <v>24.97106977</v>
      </c>
      <c r="Y44">
        <v>1.4285714E-2</v>
      </c>
      <c r="Z44">
        <v>0.47466666699999999</v>
      </c>
      <c r="AA44">
        <v>16.789673910000001</v>
      </c>
      <c r="AB44">
        <v>14.52717391</v>
      </c>
      <c r="AC44">
        <v>-0.58747436399999997</v>
      </c>
      <c r="AD44">
        <v>-0.52524610299999996</v>
      </c>
      <c r="AE44">
        <v>-0.796666667</v>
      </c>
      <c r="AF44">
        <v>-5.3855555559999999</v>
      </c>
      <c r="AG44">
        <v>5</v>
      </c>
      <c r="AH44">
        <v>22</v>
      </c>
      <c r="AI44">
        <v>398.25333460000002</v>
      </c>
      <c r="AJ44">
        <v>1023.1746000000001</v>
      </c>
      <c r="AK44">
        <v>-0.66271739100000004</v>
      </c>
      <c r="AL44">
        <v>-0.19353260899999999</v>
      </c>
      <c r="AM44">
        <v>4.7188296919999999</v>
      </c>
      <c r="AN44">
        <v>4.5608164249999996</v>
      </c>
    </row>
    <row r="45" spans="1:40" x14ac:dyDescent="0.2">
      <c r="A45">
        <v>2013</v>
      </c>
      <c r="B45">
        <v>225</v>
      </c>
      <c r="C45">
        <v>24</v>
      </c>
      <c r="D45">
        <v>157.9027778</v>
      </c>
      <c r="E45">
        <v>232.7142857</v>
      </c>
      <c r="F45">
        <v>262.33333329999999</v>
      </c>
      <c r="G45">
        <v>17.812313020000001</v>
      </c>
      <c r="H45">
        <v>0.79987302199999999</v>
      </c>
      <c r="I45">
        <v>4.8480669999999997E-2</v>
      </c>
      <c r="J45">
        <v>0.40880503099999999</v>
      </c>
      <c r="K45">
        <v>0.14222222200000001</v>
      </c>
      <c r="L45">
        <v>0.165447392</v>
      </c>
      <c r="M45">
        <v>0.65625</v>
      </c>
      <c r="N45">
        <v>9.0036177999999994E-2</v>
      </c>
      <c r="O45">
        <v>0.24173317</v>
      </c>
      <c r="P45">
        <v>0.47368421100000002</v>
      </c>
      <c r="Q45">
        <v>1.5852796999999998E-2</v>
      </c>
      <c r="R45">
        <v>1.5441757E-2</v>
      </c>
      <c r="S45">
        <v>1.0309609000000001E-2</v>
      </c>
      <c r="T45">
        <v>8.6500761999999995E-2</v>
      </c>
      <c r="U45">
        <v>0.146243174</v>
      </c>
      <c r="V45">
        <v>7.5955555559999999</v>
      </c>
      <c r="W45">
        <v>29.07424215</v>
      </c>
      <c r="X45">
        <v>28.4268973</v>
      </c>
      <c r="Y45">
        <v>0</v>
      </c>
      <c r="Z45">
        <v>6.0999999999999999E-2</v>
      </c>
      <c r="AA45">
        <v>14.22826087</v>
      </c>
      <c r="AB45">
        <v>16.789673910000001</v>
      </c>
      <c r="AC45">
        <v>-0.691985234</v>
      </c>
      <c r="AD45">
        <v>-0.58747436399999997</v>
      </c>
      <c r="AE45">
        <v>-1.9544444439999999</v>
      </c>
      <c r="AF45">
        <v>-0.796666667</v>
      </c>
      <c r="AG45">
        <v>8</v>
      </c>
      <c r="AH45">
        <v>5</v>
      </c>
      <c r="AI45">
        <v>932.14847810000003</v>
      </c>
      <c r="AJ45">
        <v>398.25333460000002</v>
      </c>
      <c r="AK45">
        <v>0.298369565</v>
      </c>
      <c r="AL45">
        <v>-0.66271739100000004</v>
      </c>
      <c r="AM45">
        <v>5.3274920159999999</v>
      </c>
      <c r="AN45">
        <v>1.699182183</v>
      </c>
    </row>
    <row r="46" spans="1:40" x14ac:dyDescent="0.2">
      <c r="A46">
        <v>2014</v>
      </c>
      <c r="B46">
        <v>225</v>
      </c>
      <c r="C46">
        <v>24</v>
      </c>
      <c r="D46">
        <v>150</v>
      </c>
      <c r="E46">
        <v>211.05555559999999</v>
      </c>
      <c r="F46">
        <v>275</v>
      </c>
      <c r="G46">
        <v>13.117804599999999</v>
      </c>
      <c r="H46">
        <v>2.1123699629999999</v>
      </c>
      <c r="I46">
        <v>4.1209165999999998E-2</v>
      </c>
      <c r="J46">
        <v>0.47840531600000002</v>
      </c>
      <c r="K46">
        <v>0.14167406900000001</v>
      </c>
      <c r="L46">
        <v>0.121445332</v>
      </c>
      <c r="M46">
        <v>0.6</v>
      </c>
      <c r="N46">
        <v>2.8151369999999998E-2</v>
      </c>
      <c r="O46">
        <v>0.28064219299999998</v>
      </c>
      <c r="P46">
        <v>0.66666666699999999</v>
      </c>
      <c r="Q46">
        <v>4.1644705999999997E-2</v>
      </c>
      <c r="R46">
        <v>1.0323393E-2</v>
      </c>
      <c r="S46">
        <v>5.2669750000000001E-3</v>
      </c>
      <c r="T46">
        <v>4.1604163E-2</v>
      </c>
      <c r="U46">
        <v>8.6500761999999995E-2</v>
      </c>
      <c r="V46">
        <v>7.4044444440000001</v>
      </c>
      <c r="W46">
        <v>28.65017413</v>
      </c>
      <c r="X46">
        <v>28.86220814</v>
      </c>
      <c r="Y46">
        <v>0</v>
      </c>
      <c r="Z46">
        <v>0.01</v>
      </c>
      <c r="AA46">
        <v>13.539673909999999</v>
      </c>
      <c r="AB46">
        <v>14.22826087</v>
      </c>
      <c r="AC46">
        <v>-0.34671349499999998</v>
      </c>
      <c r="AD46">
        <v>-0.691985234</v>
      </c>
      <c r="AE46">
        <v>-7.5844444439999998</v>
      </c>
      <c r="AF46">
        <v>-1.9544444439999999</v>
      </c>
      <c r="AG46">
        <v>20</v>
      </c>
      <c r="AH46">
        <v>8</v>
      </c>
      <c r="AI46">
        <v>728.56100519999995</v>
      </c>
      <c r="AJ46">
        <v>932.14847810000003</v>
      </c>
      <c r="AK46">
        <v>-0.38054347799999999</v>
      </c>
      <c r="AL46">
        <v>0.298369565</v>
      </c>
      <c r="AM46">
        <v>5.7535254910000004</v>
      </c>
      <c r="AN46">
        <v>3.1954125769999999</v>
      </c>
    </row>
    <row r="47" spans="1:40" x14ac:dyDescent="0.2">
      <c r="A47">
        <v>2015</v>
      </c>
      <c r="B47">
        <v>215</v>
      </c>
      <c r="C47">
        <v>23</v>
      </c>
      <c r="D47">
        <v>149.5257732</v>
      </c>
      <c r="E47">
        <v>213.29411759999999</v>
      </c>
      <c r="F47">
        <v>275.75</v>
      </c>
      <c r="G47">
        <v>19.836691999999999</v>
      </c>
      <c r="H47">
        <v>8.1792559269999998</v>
      </c>
      <c r="I47">
        <v>4.0798228999999998E-2</v>
      </c>
      <c r="J47">
        <v>0.34946236600000002</v>
      </c>
      <c r="K47">
        <v>0.31168982000000001</v>
      </c>
      <c r="L47">
        <v>0.12556920399999999</v>
      </c>
      <c r="M47">
        <v>0.44736842100000002</v>
      </c>
      <c r="N47">
        <v>6.7711090000000002E-2</v>
      </c>
      <c r="O47">
        <v>0.28307180500000001</v>
      </c>
      <c r="P47">
        <v>0.8</v>
      </c>
      <c r="Q47">
        <v>0.11661529599999999</v>
      </c>
      <c r="R47">
        <v>1.7509393000000002E-2</v>
      </c>
      <c r="S47">
        <v>1.5333680000000001E-2</v>
      </c>
      <c r="T47">
        <v>5.7235073999999997E-2</v>
      </c>
      <c r="U47">
        <v>4.1604163E-2</v>
      </c>
      <c r="V47">
        <v>8.2418604650000002</v>
      </c>
      <c r="W47">
        <v>24.645753920000001</v>
      </c>
      <c r="X47">
        <v>26.64796402</v>
      </c>
      <c r="Y47">
        <v>0</v>
      </c>
      <c r="Z47">
        <v>2.6666670000000002E-3</v>
      </c>
      <c r="AA47">
        <v>14.657608700000001</v>
      </c>
      <c r="AB47">
        <v>13.539673909999999</v>
      </c>
      <c r="AC47">
        <v>7.9604180000000004E-3</v>
      </c>
      <c r="AD47">
        <v>-0.34671349499999998</v>
      </c>
      <c r="AE47">
        <v>-5.5822222220000004</v>
      </c>
      <c r="AF47">
        <v>-7.5844444439999998</v>
      </c>
      <c r="AG47">
        <v>8</v>
      </c>
      <c r="AH47">
        <v>20</v>
      </c>
      <c r="AI47">
        <v>292.56989340000001</v>
      </c>
      <c r="AJ47">
        <v>728.56100519999995</v>
      </c>
      <c r="AK47">
        <v>-0.28663043500000002</v>
      </c>
      <c r="AL47">
        <v>-0.38054347799999999</v>
      </c>
      <c r="AM47">
        <v>5.8481217440000002</v>
      </c>
      <c r="AN47">
        <v>5.2811562380000003</v>
      </c>
    </row>
    <row r="48" spans="1:40" x14ac:dyDescent="0.2">
      <c r="A48">
        <v>2016</v>
      </c>
      <c r="B48">
        <v>225</v>
      </c>
      <c r="C48">
        <v>24</v>
      </c>
      <c r="D48">
        <v>138.02797200000001</v>
      </c>
      <c r="E48">
        <v>202.97727269999999</v>
      </c>
      <c r="F48">
        <v>285</v>
      </c>
      <c r="G48">
        <v>14.05777778</v>
      </c>
      <c r="H48">
        <v>3.2638706009999998</v>
      </c>
      <c r="I48">
        <v>3.1670934999999997E-2</v>
      </c>
      <c r="J48">
        <v>0.21708185099999999</v>
      </c>
      <c r="K48">
        <v>0.49904060700000002</v>
      </c>
      <c r="L48">
        <v>0.107333688</v>
      </c>
      <c r="M48">
        <v>0.75862068999999999</v>
      </c>
      <c r="N48">
        <v>4.1533236000000001E-2</v>
      </c>
      <c r="O48">
        <v>0.31423096</v>
      </c>
      <c r="P48">
        <v>0.6</v>
      </c>
      <c r="Q48">
        <v>2.2439714999999999E-2</v>
      </c>
      <c r="R48">
        <v>4.0634658999999997E-2</v>
      </c>
      <c r="S48">
        <v>7.8306169999999998E-3</v>
      </c>
      <c r="T48">
        <v>0.14945836900000001</v>
      </c>
      <c r="U48">
        <v>5.7235073999999997E-2</v>
      </c>
      <c r="V48">
        <v>1.1333333329999999</v>
      </c>
      <c r="W48">
        <v>29.01411027</v>
      </c>
      <c r="X48">
        <v>26.82993209</v>
      </c>
      <c r="Y48">
        <v>0</v>
      </c>
      <c r="Z48">
        <v>5.6666670000000002E-3</v>
      </c>
      <c r="AA48">
        <v>15.422826089999999</v>
      </c>
      <c r="AB48">
        <v>14.657608700000001</v>
      </c>
      <c r="AC48">
        <v>0.169210418</v>
      </c>
      <c r="AD48">
        <v>7.9604180000000004E-3</v>
      </c>
      <c r="AE48">
        <v>-8.7777778000000001E-2</v>
      </c>
      <c r="AF48">
        <v>-5.5822222220000004</v>
      </c>
      <c r="AG48">
        <v>2</v>
      </c>
      <c r="AH48">
        <v>8</v>
      </c>
      <c r="AI48">
        <v>401.62869160000002</v>
      </c>
      <c r="AJ48">
        <v>292.56989340000001</v>
      </c>
      <c r="AK48">
        <v>-0.58940217399999995</v>
      </c>
      <c r="AL48">
        <v>-0.28663043500000002</v>
      </c>
      <c r="AM48">
        <v>4.5439132129999997</v>
      </c>
      <c r="AN48">
        <v>4.0435021820000001</v>
      </c>
    </row>
    <row r="49" spans="1:40" x14ac:dyDescent="0.2">
      <c r="A49">
        <v>2017</v>
      </c>
      <c r="B49">
        <v>240</v>
      </c>
      <c r="C49">
        <v>24</v>
      </c>
      <c r="D49">
        <v>149.98295450000001</v>
      </c>
      <c r="E49">
        <v>215.94495409999999</v>
      </c>
      <c r="F49">
        <v>250.7142857</v>
      </c>
      <c r="G49">
        <v>18.721018770000001</v>
      </c>
      <c r="H49">
        <v>2.8886830419999998</v>
      </c>
      <c r="I49">
        <v>4.1194346999999999E-2</v>
      </c>
      <c r="J49">
        <v>0.33126935000000002</v>
      </c>
      <c r="K49">
        <v>1.0642048749999999</v>
      </c>
      <c r="L49">
        <v>0.13057522299999999</v>
      </c>
      <c r="M49">
        <v>0.57754010700000002</v>
      </c>
      <c r="N49">
        <v>0.24275997899999999</v>
      </c>
      <c r="O49">
        <v>0.209443449</v>
      </c>
      <c r="P49">
        <v>0.46666666699999998</v>
      </c>
      <c r="Q49">
        <v>3.9420194999999998E-2</v>
      </c>
      <c r="R49">
        <v>8.0254274E-2</v>
      </c>
      <c r="S49">
        <v>2.3727426999999999E-2</v>
      </c>
      <c r="T49">
        <v>7.0904991000000001E-2</v>
      </c>
      <c r="U49">
        <v>0.14945836900000001</v>
      </c>
      <c r="V49">
        <v>2.875</v>
      </c>
      <c r="W49">
        <v>35.327782810000002</v>
      </c>
      <c r="X49">
        <v>32.170946540000003</v>
      </c>
      <c r="Y49">
        <v>1.2500000000000001E-2</v>
      </c>
      <c r="Z49">
        <v>5.6666670000000002E-3</v>
      </c>
      <c r="AA49">
        <v>14.55706522</v>
      </c>
      <c r="AB49">
        <v>15.422826089999999</v>
      </c>
      <c r="AC49">
        <v>0.196547375</v>
      </c>
      <c r="AD49">
        <v>0.169210418</v>
      </c>
      <c r="AE49">
        <v>-1.3733333329999999</v>
      </c>
      <c r="AF49">
        <v>-8.7777778000000001E-2</v>
      </c>
      <c r="AG49">
        <v>14</v>
      </c>
      <c r="AH49">
        <v>2</v>
      </c>
      <c r="AI49">
        <v>589.55941519999999</v>
      </c>
      <c r="AJ49">
        <v>401.62869160000002</v>
      </c>
      <c r="AK49">
        <v>0.12005434800000001</v>
      </c>
      <c r="AL49">
        <v>-0.58940217399999995</v>
      </c>
      <c r="AM49">
        <v>5.5760613440000002</v>
      </c>
      <c r="AN49">
        <v>2.961538096</v>
      </c>
    </row>
    <row r="50" spans="1:40" x14ac:dyDescent="0.2">
      <c r="A50">
        <v>2018</v>
      </c>
      <c r="B50">
        <v>230</v>
      </c>
      <c r="C50">
        <v>24</v>
      </c>
      <c r="D50">
        <v>143.2105263</v>
      </c>
      <c r="E50">
        <v>212.86956520000001</v>
      </c>
      <c r="F50">
        <v>262.89999999999998</v>
      </c>
      <c r="G50">
        <v>19.857764</v>
      </c>
      <c r="H50">
        <v>0.49875773899999998</v>
      </c>
      <c r="I50">
        <v>3.5589810999999999E-2</v>
      </c>
      <c r="J50">
        <v>0.24561403500000001</v>
      </c>
      <c r="K50">
        <v>0.16956521699999999</v>
      </c>
      <c r="L50">
        <v>0.124779847</v>
      </c>
      <c r="M50">
        <v>0.56410256400000003</v>
      </c>
      <c r="N50">
        <v>0.18695652200000001</v>
      </c>
      <c r="O50">
        <v>0.24338969999999999</v>
      </c>
      <c r="P50">
        <v>0.47619047599999997</v>
      </c>
      <c r="Q50">
        <v>4.359819E-3</v>
      </c>
      <c r="R50">
        <v>1.1935464E-2</v>
      </c>
      <c r="S50">
        <v>2.1668234000000001E-2</v>
      </c>
      <c r="T50">
        <v>0.143401896</v>
      </c>
      <c r="U50">
        <v>7.0904991000000001E-2</v>
      </c>
      <c r="V50">
        <v>7.9565217390000003</v>
      </c>
      <c r="W50">
        <v>38.698983320000004</v>
      </c>
      <c r="X50">
        <v>37.013383060000002</v>
      </c>
      <c r="Y50">
        <v>0</v>
      </c>
      <c r="Z50">
        <v>3.6666670000000002E-3</v>
      </c>
      <c r="AA50">
        <v>14.627717390000001</v>
      </c>
      <c r="AB50">
        <v>14.55706522</v>
      </c>
      <c r="AC50">
        <v>0.28122128800000001</v>
      </c>
      <c r="AD50">
        <v>0.196547375</v>
      </c>
      <c r="AE50">
        <v>-4.0811111110000002</v>
      </c>
      <c r="AF50">
        <v>-1.3733333329999999</v>
      </c>
      <c r="AG50">
        <v>20</v>
      </c>
      <c r="AH50">
        <v>14</v>
      </c>
      <c r="AI50">
        <v>484.4637305</v>
      </c>
      <c r="AJ50">
        <v>589.55941519999999</v>
      </c>
      <c r="AK50">
        <v>1.1464673910000001</v>
      </c>
      <c r="AL50">
        <v>0.12005434800000001</v>
      </c>
      <c r="AM50">
        <v>4.9306991939999998</v>
      </c>
      <c r="AN50">
        <v>1.9507796589999999</v>
      </c>
    </row>
    <row r="51" spans="1:40" x14ac:dyDescent="0.2">
      <c r="A51">
        <v>2019</v>
      </c>
      <c r="B51">
        <v>225</v>
      </c>
      <c r="C51">
        <v>24</v>
      </c>
      <c r="D51">
        <v>146.0198675</v>
      </c>
      <c r="E51">
        <v>217.13888890000001</v>
      </c>
      <c r="F51">
        <v>283.16000000000003</v>
      </c>
      <c r="G51">
        <v>10.462222219999999</v>
      </c>
      <c r="H51">
        <v>1.408888889</v>
      </c>
      <c r="I51">
        <v>3.7846769000000002E-2</v>
      </c>
      <c r="J51">
        <v>0.37254902000000001</v>
      </c>
      <c r="K51">
        <v>0.21777777800000001</v>
      </c>
      <c r="L51">
        <v>0.13287385299999999</v>
      </c>
      <c r="M51">
        <v>0.71428571399999996</v>
      </c>
      <c r="N51">
        <v>0.21777777800000001</v>
      </c>
      <c r="O51">
        <v>0.307854825</v>
      </c>
      <c r="P51">
        <v>0.52083333300000001</v>
      </c>
      <c r="Q51">
        <v>1.9865019000000001E-2</v>
      </c>
      <c r="R51">
        <v>2.0669265999999999E-2</v>
      </c>
      <c r="S51">
        <v>3.4918719000000001E-2</v>
      </c>
      <c r="T51">
        <v>3.7963517000000002E-2</v>
      </c>
      <c r="U51">
        <v>0.143401896</v>
      </c>
      <c r="V51">
        <v>4.4844444440000002</v>
      </c>
      <c r="W51">
        <v>35.508633459999999</v>
      </c>
      <c r="X51">
        <v>37.103808389999998</v>
      </c>
      <c r="Y51">
        <v>0.48</v>
      </c>
      <c r="Z51">
        <v>1.3333329999999999E-3</v>
      </c>
      <c r="AA51">
        <v>13.889673910000001</v>
      </c>
      <c r="AB51">
        <v>14.627717390000001</v>
      </c>
      <c r="AC51">
        <v>0.54975389699999999</v>
      </c>
      <c r="AD51">
        <v>0.28122128800000001</v>
      </c>
      <c r="AE51">
        <v>-3.6766666670000001</v>
      </c>
      <c r="AF51">
        <v>-4.0811111110000002</v>
      </c>
      <c r="AG51">
        <v>8</v>
      </c>
      <c r="AH51">
        <v>20</v>
      </c>
      <c r="AI51">
        <v>567.06018089999998</v>
      </c>
      <c r="AJ51">
        <v>484.4637305</v>
      </c>
      <c r="AK51">
        <v>-0.77331521700000005</v>
      </c>
      <c r="AL51">
        <v>1.1464673910000001</v>
      </c>
      <c r="AM51">
        <v>5.6189005400000003</v>
      </c>
      <c r="AN51">
        <v>2.2849055009999999</v>
      </c>
    </row>
    <row r="52" spans="1:40" x14ac:dyDescent="0.2">
      <c r="A52">
        <v>2020</v>
      </c>
      <c r="B52">
        <v>75</v>
      </c>
      <c r="C52">
        <v>8</v>
      </c>
      <c r="D52">
        <v>115.1090909</v>
      </c>
      <c r="E52">
        <v>181.85714290000001</v>
      </c>
      <c r="F52">
        <v>249.75</v>
      </c>
      <c r="G52">
        <v>43.654674120000003</v>
      </c>
      <c r="H52">
        <v>12.779478579999999</v>
      </c>
      <c r="I52">
        <v>1.7826946E-2</v>
      </c>
      <c r="J52">
        <v>1.7241379000000001E-2</v>
      </c>
      <c r="K52">
        <v>0.18476722500000001</v>
      </c>
      <c r="L52">
        <v>7.5807397999999998E-2</v>
      </c>
      <c r="M52">
        <v>0.54545454500000001</v>
      </c>
      <c r="N52">
        <v>6.1080073999999998E-2</v>
      </c>
      <c r="O52">
        <v>0.206904477</v>
      </c>
      <c r="P52">
        <v>1</v>
      </c>
      <c r="Q52">
        <v>3.9279149999999997E-3</v>
      </c>
      <c r="R52">
        <v>7.6400310000000003E-3</v>
      </c>
      <c r="S52">
        <v>1.2637740999999999E-2</v>
      </c>
      <c r="T52">
        <v>7.5453003000000005E-2</v>
      </c>
      <c r="U52">
        <v>3.7963517000000002E-2</v>
      </c>
      <c r="V52">
        <v>2.2933333330000001</v>
      </c>
      <c r="W52">
        <v>28.828368229999999</v>
      </c>
      <c r="X52">
        <v>32.16850084</v>
      </c>
      <c r="Y52">
        <v>0</v>
      </c>
      <c r="Z52">
        <v>3.0000000000000001E-3</v>
      </c>
      <c r="AA52">
        <v>15.29891304</v>
      </c>
      <c r="AB52">
        <v>13.889673910000001</v>
      </c>
      <c r="AC52">
        <v>0.75111259200000002</v>
      </c>
      <c r="AD52">
        <v>0.54975389699999999</v>
      </c>
      <c r="AE52">
        <v>-1.1366666670000001</v>
      </c>
      <c r="AF52">
        <v>-3.6766666670000001</v>
      </c>
      <c r="AG52">
        <v>7</v>
      </c>
      <c r="AH52">
        <v>8</v>
      </c>
      <c r="AI52">
        <v>529.28525939999997</v>
      </c>
      <c r="AJ52">
        <v>567.06018089999998</v>
      </c>
      <c r="AK52">
        <v>-0.27668478299999999</v>
      </c>
      <c r="AL52">
        <v>-0.77331521700000005</v>
      </c>
      <c r="AM52">
        <v>6.3605556459999999</v>
      </c>
      <c r="AN52">
        <v>5.8189703030000004</v>
      </c>
    </row>
    <row r="53" spans="1:40" x14ac:dyDescent="0.2">
      <c r="A53">
        <v>2021</v>
      </c>
      <c r="B53">
        <v>225</v>
      </c>
      <c r="C53">
        <v>24</v>
      </c>
      <c r="D53">
        <v>151.2929293</v>
      </c>
      <c r="E53">
        <v>221.57647059999999</v>
      </c>
      <c r="F53">
        <v>264.29411759999999</v>
      </c>
      <c r="G53">
        <v>26.846419910000002</v>
      </c>
      <c r="H53">
        <v>2.9515996439999999</v>
      </c>
      <c r="I53">
        <v>4.2343909999999998E-2</v>
      </c>
      <c r="J53">
        <v>0.26506024099999997</v>
      </c>
      <c r="K53">
        <v>0.60154488900000003</v>
      </c>
      <c r="L53">
        <v>0.141660024</v>
      </c>
      <c r="M53">
        <v>0.62222222199999999</v>
      </c>
      <c r="N53">
        <v>9.8213555999999994E-2</v>
      </c>
      <c r="O53">
        <v>0.24749812800000001</v>
      </c>
      <c r="P53">
        <v>0.77272727299999999</v>
      </c>
      <c r="Q53">
        <v>3.3127831000000003E-2</v>
      </c>
      <c r="R53">
        <v>5.3022581999999999E-2</v>
      </c>
      <c r="S53">
        <v>1.87832E-2</v>
      </c>
      <c r="T53">
        <v>2.4205686000000001E-2</v>
      </c>
      <c r="U53">
        <v>7.5453003000000005E-2</v>
      </c>
      <c r="V53">
        <v>5.4044444440000001</v>
      </c>
      <c r="W53">
        <v>32.685239449999997</v>
      </c>
      <c r="X53">
        <v>30.75680384</v>
      </c>
      <c r="Y53">
        <v>0</v>
      </c>
      <c r="Z53">
        <v>0</v>
      </c>
      <c r="AA53">
        <v>15.870108699999999</v>
      </c>
      <c r="AB53">
        <v>15.29891304</v>
      </c>
      <c r="AC53">
        <v>0.34806911400000001</v>
      </c>
      <c r="AD53">
        <v>0.75111259200000002</v>
      </c>
      <c r="AE53">
        <v>-2.9555555560000002</v>
      </c>
      <c r="AF53">
        <v>-1.1366666670000001</v>
      </c>
      <c r="AG53">
        <v>8</v>
      </c>
      <c r="AH53">
        <v>7</v>
      </c>
      <c r="AI53">
        <v>322.05598470000001</v>
      </c>
      <c r="AJ53">
        <v>529.28525939999997</v>
      </c>
      <c r="AK53">
        <v>-0.23565217399999999</v>
      </c>
      <c r="AL53">
        <v>-0.27668478299999999</v>
      </c>
      <c r="AM53">
        <v>7.0113001720000003</v>
      </c>
      <c r="AN53">
        <v>3.666592563</v>
      </c>
    </row>
    <row r="54" spans="1:40" x14ac:dyDescent="0.2">
      <c r="A54">
        <v>2022</v>
      </c>
      <c r="B54">
        <v>205</v>
      </c>
      <c r="C54">
        <v>22</v>
      </c>
      <c r="D54">
        <v>144.96183210000001</v>
      </c>
      <c r="E54">
        <v>207.02500000000001</v>
      </c>
      <c r="F54">
        <v>270.12121209999998</v>
      </c>
      <c r="G54">
        <v>9.8171751220000001</v>
      </c>
      <c r="H54">
        <v>2.0232722650000001</v>
      </c>
      <c r="I54">
        <v>3.6985615999999999E-2</v>
      </c>
      <c r="J54">
        <v>0.29629629600000001</v>
      </c>
      <c r="K54">
        <v>0.55325571699999998</v>
      </c>
      <c r="L54">
        <v>0.11425550399999999</v>
      </c>
      <c r="M54">
        <v>0.44318181800000001</v>
      </c>
      <c r="N54">
        <v>0.31361396899999999</v>
      </c>
      <c r="O54">
        <v>0.26518456499999998</v>
      </c>
      <c r="P54">
        <v>0.61111111100000004</v>
      </c>
      <c r="Q54">
        <v>2.2172436E-2</v>
      </c>
      <c r="R54">
        <v>2.8014635E-2</v>
      </c>
      <c r="S54">
        <v>5.0823412999999998E-2</v>
      </c>
      <c r="T54">
        <v>0.104933613</v>
      </c>
      <c r="U54">
        <v>2.4205686000000001E-2</v>
      </c>
      <c r="V54">
        <v>6.2195121950000001</v>
      </c>
      <c r="W54">
        <v>29.603304309999999</v>
      </c>
      <c r="X54">
        <v>31.144271880000002</v>
      </c>
      <c r="Y54">
        <v>0</v>
      </c>
      <c r="Z54">
        <v>0</v>
      </c>
      <c r="AA54">
        <v>14.69782609</v>
      </c>
      <c r="AB54">
        <v>15.870108699999999</v>
      </c>
      <c r="AC54">
        <v>0.109373462</v>
      </c>
      <c r="AD54">
        <v>0.34806911400000001</v>
      </c>
      <c r="AE54">
        <v>-3.7144444440000002</v>
      </c>
      <c r="AF54">
        <v>-2.9555555560000002</v>
      </c>
      <c r="AG54">
        <v>5</v>
      </c>
      <c r="AH54">
        <v>8</v>
      </c>
      <c r="AI54">
        <v>426.5625</v>
      </c>
      <c r="AJ54">
        <v>322.05598470000001</v>
      </c>
      <c r="AK54">
        <v>0.40358695700000002</v>
      </c>
      <c r="AL54">
        <v>-0.23565217399999999</v>
      </c>
      <c r="AM54">
        <v>4.5385608040000003</v>
      </c>
      <c r="AN54">
        <v>4.4258838300000001</v>
      </c>
    </row>
  </sheetData>
  <autoFilter ref="A1:AN1" xr:uid="{AE46F52B-D856-F746-8D61-C5D41A951DE1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BAA9-9924-774C-8B50-C59ADC02E7DA}">
  <dimension ref="A1:B54"/>
  <sheetViews>
    <sheetView tabSelected="1" topLeftCell="N5" zoomScale="125" workbookViewId="0">
      <selection activeCell="P9" sqref="P9"/>
    </sheetView>
  </sheetViews>
  <sheetFormatPr baseColWidth="10" defaultRowHeight="16" x14ac:dyDescent="0.2"/>
  <sheetData>
    <row r="1" spans="1:2" x14ac:dyDescent="0.2">
      <c r="A1" t="s">
        <v>3</v>
      </c>
      <c r="B1" t="s">
        <v>32</v>
      </c>
    </row>
    <row r="2" spans="1:2" x14ac:dyDescent="0.2">
      <c r="A2">
        <v>173.18421050000001</v>
      </c>
      <c r="B2">
        <v>20</v>
      </c>
    </row>
    <row r="3" spans="1:2" x14ac:dyDescent="0.2">
      <c r="A3">
        <v>153.58426969999999</v>
      </c>
      <c r="B3">
        <v>15</v>
      </c>
    </row>
    <row r="4" spans="1:2" x14ac:dyDescent="0.2">
      <c r="A4">
        <v>144.97894740000001</v>
      </c>
      <c r="B4">
        <v>10</v>
      </c>
    </row>
    <row r="5" spans="1:2" x14ac:dyDescent="0.2">
      <c r="A5">
        <v>131.08333329999999</v>
      </c>
      <c r="B5">
        <v>20</v>
      </c>
    </row>
    <row r="6" spans="1:2" x14ac:dyDescent="0.2">
      <c r="A6">
        <v>134.43478260000001</v>
      </c>
      <c r="B6">
        <v>16</v>
      </c>
    </row>
    <row r="7" spans="1:2" x14ac:dyDescent="0.2">
      <c r="A7">
        <v>140.2394366</v>
      </c>
      <c r="B7">
        <v>8</v>
      </c>
    </row>
    <row r="8" spans="1:2" x14ac:dyDescent="0.2">
      <c r="A8">
        <v>145.4954955</v>
      </c>
      <c r="B8">
        <v>17</v>
      </c>
    </row>
    <row r="9" spans="1:2" x14ac:dyDescent="0.2">
      <c r="A9">
        <v>127.4210526</v>
      </c>
      <c r="B9">
        <v>23</v>
      </c>
    </row>
    <row r="10" spans="1:2" x14ac:dyDescent="0.2">
      <c r="A10">
        <v>137.26</v>
      </c>
      <c r="B10">
        <v>19</v>
      </c>
    </row>
    <row r="11" spans="1:2" x14ac:dyDescent="0.2">
      <c r="A11">
        <v>125.8571429</v>
      </c>
      <c r="B11">
        <v>13</v>
      </c>
    </row>
    <row r="12" spans="1:2" x14ac:dyDescent="0.2">
      <c r="A12">
        <v>125.2387097</v>
      </c>
      <c r="B12">
        <v>9</v>
      </c>
    </row>
    <row r="13" spans="1:2" x14ac:dyDescent="0.2">
      <c r="A13">
        <v>124.8235294</v>
      </c>
      <c r="B13">
        <v>20</v>
      </c>
    </row>
    <row r="14" spans="1:2" x14ac:dyDescent="0.2">
      <c r="A14">
        <v>128.20487800000001</v>
      </c>
      <c r="B14">
        <v>16</v>
      </c>
    </row>
    <row r="15" spans="1:2" x14ac:dyDescent="0.2">
      <c r="A15">
        <v>128.35582819999999</v>
      </c>
      <c r="B15">
        <v>10</v>
      </c>
    </row>
    <row r="16" spans="1:2" x14ac:dyDescent="0.2">
      <c r="A16">
        <v>119.17924530000001</v>
      </c>
      <c r="B16">
        <v>23</v>
      </c>
    </row>
    <row r="17" spans="1:2" x14ac:dyDescent="0.2">
      <c r="A17">
        <v>118.9058824</v>
      </c>
      <c r="B17">
        <v>11</v>
      </c>
    </row>
    <row r="18" spans="1:2" x14ac:dyDescent="0.2">
      <c r="A18">
        <v>121.6368715</v>
      </c>
      <c r="B18">
        <v>22</v>
      </c>
    </row>
    <row r="19" spans="1:2" x14ac:dyDescent="0.2">
      <c r="A19">
        <v>123.1595092</v>
      </c>
      <c r="B19">
        <v>7</v>
      </c>
    </row>
    <row r="20" spans="1:2" x14ac:dyDescent="0.2">
      <c r="A20">
        <v>125.44047620000001</v>
      </c>
      <c r="B20">
        <v>10</v>
      </c>
    </row>
    <row r="21" spans="1:2" x14ac:dyDescent="0.2">
      <c r="A21">
        <v>122.737931</v>
      </c>
      <c r="B21">
        <v>14</v>
      </c>
    </row>
    <row r="22" spans="1:2" x14ac:dyDescent="0.2">
      <c r="A22">
        <v>127.5466667</v>
      </c>
      <c r="B22">
        <v>26</v>
      </c>
    </row>
    <row r="23" spans="1:2" x14ac:dyDescent="0.2">
      <c r="A23">
        <v>127.5606061</v>
      </c>
      <c r="B23">
        <v>8</v>
      </c>
    </row>
    <row r="24" spans="1:2" x14ac:dyDescent="0.2">
      <c r="A24">
        <v>126.93684210000001</v>
      </c>
      <c r="B24">
        <v>13</v>
      </c>
    </row>
    <row r="25" spans="1:2" x14ac:dyDescent="0.2">
      <c r="A25">
        <v>132.4375</v>
      </c>
      <c r="B25">
        <v>8</v>
      </c>
    </row>
    <row r="26" spans="1:2" x14ac:dyDescent="0.2">
      <c r="A26">
        <v>149.41176469999999</v>
      </c>
      <c r="B26">
        <v>11</v>
      </c>
    </row>
    <row r="27" spans="1:2" x14ac:dyDescent="0.2">
      <c r="A27">
        <v>143.29591840000001</v>
      </c>
      <c r="B27">
        <v>10</v>
      </c>
    </row>
    <row r="28" spans="1:2" x14ac:dyDescent="0.2">
      <c r="A28">
        <v>139.97087379999999</v>
      </c>
      <c r="B28">
        <v>21</v>
      </c>
    </row>
    <row r="29" spans="1:2" x14ac:dyDescent="0.2">
      <c r="A29">
        <v>137.27083329999999</v>
      </c>
      <c r="B29">
        <v>10</v>
      </c>
    </row>
    <row r="30" spans="1:2" x14ac:dyDescent="0.2">
      <c r="A30">
        <v>127.14084510000001</v>
      </c>
      <c r="B30">
        <v>4</v>
      </c>
    </row>
    <row r="31" spans="1:2" x14ac:dyDescent="0.2">
      <c r="A31">
        <v>140.2857143</v>
      </c>
      <c r="B31">
        <v>8</v>
      </c>
    </row>
    <row r="32" spans="1:2" x14ac:dyDescent="0.2">
      <c r="A32">
        <v>142.75862069999999</v>
      </c>
      <c r="B32">
        <v>9</v>
      </c>
    </row>
    <row r="33" spans="1:2" x14ac:dyDescent="0.2">
      <c r="A33">
        <v>140.14285709999999</v>
      </c>
      <c r="B33">
        <v>25</v>
      </c>
    </row>
    <row r="34" spans="1:2" x14ac:dyDescent="0.2">
      <c r="A34">
        <v>134.50420170000001</v>
      </c>
      <c r="B34">
        <v>8</v>
      </c>
    </row>
    <row r="35" spans="1:2" x14ac:dyDescent="0.2">
      <c r="A35">
        <v>140.52631579999999</v>
      </c>
      <c r="B35">
        <v>15</v>
      </c>
    </row>
    <row r="36" spans="1:2" x14ac:dyDescent="0.2">
      <c r="A36">
        <v>133.61111109999999</v>
      </c>
      <c r="B36">
        <v>9</v>
      </c>
    </row>
    <row r="37" spans="1:2" x14ac:dyDescent="0.2">
      <c r="A37">
        <v>141</v>
      </c>
      <c r="B37">
        <v>12</v>
      </c>
    </row>
    <row r="38" spans="1:2" x14ac:dyDescent="0.2">
      <c r="A38">
        <v>142.82352940000001</v>
      </c>
      <c r="B38">
        <v>21</v>
      </c>
    </row>
    <row r="39" spans="1:2" x14ac:dyDescent="0.2">
      <c r="A39">
        <v>140.18987340000001</v>
      </c>
      <c r="B39">
        <v>5</v>
      </c>
    </row>
    <row r="40" spans="1:2" x14ac:dyDescent="0.2">
      <c r="A40">
        <v>152.72916670000001</v>
      </c>
      <c r="B40">
        <v>17</v>
      </c>
    </row>
    <row r="41" spans="1:2" x14ac:dyDescent="0.2">
      <c r="A41">
        <v>140.86000000000001</v>
      </c>
      <c r="B41">
        <v>20</v>
      </c>
    </row>
    <row r="42" spans="1:2" x14ac:dyDescent="0.2">
      <c r="A42">
        <v>141.93902439999999</v>
      </c>
      <c r="B42">
        <v>16</v>
      </c>
    </row>
    <row r="43" spans="1:2" x14ac:dyDescent="0.2">
      <c r="A43">
        <v>145.44117650000001</v>
      </c>
      <c r="B43">
        <v>22</v>
      </c>
    </row>
    <row r="44" spans="1:2" x14ac:dyDescent="0.2">
      <c r="A44">
        <v>160.00719419999999</v>
      </c>
      <c r="B44">
        <v>5</v>
      </c>
    </row>
    <row r="45" spans="1:2" x14ac:dyDescent="0.2">
      <c r="A45">
        <v>157.9027778</v>
      </c>
      <c r="B45">
        <v>8</v>
      </c>
    </row>
    <row r="46" spans="1:2" x14ac:dyDescent="0.2">
      <c r="A46">
        <v>150</v>
      </c>
      <c r="B46">
        <v>20</v>
      </c>
    </row>
    <row r="47" spans="1:2" x14ac:dyDescent="0.2">
      <c r="A47">
        <v>149.5257732</v>
      </c>
      <c r="B47">
        <v>8</v>
      </c>
    </row>
    <row r="48" spans="1:2" x14ac:dyDescent="0.2">
      <c r="A48">
        <v>138.02797200000001</v>
      </c>
      <c r="B48">
        <v>2</v>
      </c>
    </row>
    <row r="49" spans="1:2" x14ac:dyDescent="0.2">
      <c r="A49">
        <v>149.98295450000001</v>
      </c>
      <c r="B49">
        <v>14</v>
      </c>
    </row>
    <row r="50" spans="1:2" x14ac:dyDescent="0.2">
      <c r="A50">
        <v>143.2105263</v>
      </c>
      <c r="B50">
        <v>20</v>
      </c>
    </row>
    <row r="51" spans="1:2" x14ac:dyDescent="0.2">
      <c r="A51">
        <v>146.0198675</v>
      </c>
      <c r="B51">
        <v>8</v>
      </c>
    </row>
    <row r="52" spans="1:2" x14ac:dyDescent="0.2">
      <c r="A52">
        <v>115.1090909</v>
      </c>
      <c r="B52">
        <v>7</v>
      </c>
    </row>
    <row r="53" spans="1:2" x14ac:dyDescent="0.2">
      <c r="A53">
        <v>151.2929293</v>
      </c>
      <c r="B53">
        <v>8</v>
      </c>
    </row>
    <row r="54" spans="1:2" x14ac:dyDescent="0.2">
      <c r="A54">
        <v>144.96183210000001</v>
      </c>
      <c r="B54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Gardner_etAl_2025_data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James Gray</cp:lastModifiedBy>
  <dcterms:created xsi:type="dcterms:W3CDTF">2026-02-04T21:26:21Z</dcterms:created>
  <dcterms:modified xsi:type="dcterms:W3CDTF">2026-02-05T18:52:21Z</dcterms:modified>
</cp:coreProperties>
</file>